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nctional Requirements" sheetId="1" r:id="rId4"/>
    <sheet state="visible" name="Sprint 1" sheetId="2" r:id="rId5"/>
    <sheet state="visible" name="Sprint 2" sheetId="3" r:id="rId6"/>
    <sheet state="visible" name="Non-functional Requirements" sheetId="4" r:id="rId7"/>
  </sheets>
  <definedNames>
    <definedName hidden="1" localSheetId="0" name="_xlnm._FilterDatabase">'Functional Requirements'!$A$1:$Y$88</definedName>
  </definedNames>
  <calcPr/>
</workbook>
</file>

<file path=xl/sharedStrings.xml><?xml version="1.0" encoding="utf-8"?>
<sst xmlns="http://schemas.openxmlformats.org/spreadsheetml/2006/main" count="278" uniqueCount="157">
  <si>
    <t xml:space="preserve">As a </t>
  </si>
  <si>
    <t>I should be able to</t>
  </si>
  <si>
    <t>Comment</t>
  </si>
  <si>
    <t>Marks</t>
  </si>
  <si>
    <t>Sprint</t>
  </si>
  <si>
    <t>Member</t>
  </si>
  <si>
    <t>Student/Staff/TA/Professor</t>
  </si>
  <si>
    <t>sign up with my email, password, First name, Last name and student/staff id</t>
  </si>
  <si>
    <t>Eveyone should use their GUC email while signing up 
Admins and Event offices donnot sign up</t>
  </si>
  <si>
    <t>Vendor</t>
  </si>
  <si>
    <t>sign up with an email, password, company name</t>
  </si>
  <si>
    <t>upload tax card and logo to prove company validity</t>
  </si>
  <si>
    <t>Student</t>
  </si>
  <si>
    <t xml:space="preserve">receive a verification email after registration </t>
  </si>
  <si>
    <r>
      <rPr>
        <rFont val="Calibri"/>
        <color theme="1"/>
        <sz val="11.0"/>
      </rPr>
      <t xml:space="preserve">The verification mail should contain a verification link that automatically redirects me to the login page
</t>
    </r>
    <r>
      <rPr>
        <rFont val="Calibri"/>
        <b/>
        <color theme="1"/>
        <sz val="11.0"/>
      </rPr>
      <t>If I didnot click on the link I shouldnt be verified hence the login should fail</t>
    </r>
  </si>
  <si>
    <t>Admin</t>
  </si>
  <si>
    <t>insert the correct role for each of Staff/ TA/ Professor after receiving their request to register and then sends a verification mail</t>
  </si>
  <si>
    <t>Staff/ TA/ Professor</t>
  </si>
  <si>
    <t>receive a verification email after the admin verifies their role</t>
  </si>
  <si>
    <r>
      <rPr>
        <rFont val="Calibri"/>
        <color theme="1"/>
        <sz val="11.0"/>
      </rPr>
      <t xml:space="preserve">The verification mail should contain a verification link that automatically redirects me to the login page
</t>
    </r>
    <r>
      <rPr>
        <rFont val="Calibri"/>
        <b/>
        <color theme="1"/>
        <sz val="11.0"/>
      </rPr>
      <t>If I did not click on the link I shouldn't be verified, hence the login should fail</t>
    </r>
  </si>
  <si>
    <t>create other admin/Event Office accounts including the admin name, email and password</t>
  </si>
  <si>
    <t>delete other admin/Event Office accounts</t>
  </si>
  <si>
    <t>Student/Staff/ Events Office/TA/ Professor/ Admin</t>
  </si>
  <si>
    <t>login with my email and password</t>
  </si>
  <si>
    <t>Eveyone should use their GUC email except Companies and Vendors</t>
  </si>
  <si>
    <t>logout from my account successfully</t>
  </si>
  <si>
    <t>view all availabe events that are coming up and all their details including the vendors that will participate (for bazaars and booths)</t>
  </si>
  <si>
    <t>Events are workshops, trips, bazaars, booths in platform, conferences</t>
  </si>
  <si>
    <t>search the events by a specific name(Professor name/Event name) or type</t>
  </si>
  <si>
    <t>filter the events by a specific name(Professor name incase of a workshop or a conference), location, type or date</t>
  </si>
  <si>
    <t>sort the events by date</t>
  </si>
  <si>
    <t>Student/Staff/ TA/ Professor</t>
  </si>
  <si>
    <t xml:space="preserve">rate an event that i attended </t>
  </si>
  <si>
    <t>Student/Staff/TA/ Professor</t>
  </si>
  <si>
    <t>comment on an event that i attended</t>
  </si>
  <si>
    <t>view all ratings and comments on any event</t>
  </si>
  <si>
    <t>delete any inappropriate comments</t>
  </si>
  <si>
    <t>block any user</t>
  </si>
  <si>
    <t>view a list of all users along with their details and status (active/blocked)</t>
  </si>
  <si>
    <t>Student/Staff/ Events Office/TA/ Professor</t>
  </si>
  <si>
    <t>receive a warning email if any of my comments were deleted for being inappropriate</t>
  </si>
  <si>
    <t>add an event to their favorites list</t>
  </si>
  <si>
    <t>view my favorites list</t>
  </si>
  <si>
    <t>register for a workshop/trip using name, mail, student/staff id</t>
  </si>
  <si>
    <t>pay for the workshop/trip he/she registered for using credit card/ debit card (using Stripe) or from wallet if available</t>
  </si>
  <si>
    <t>receive a payment receipt via email upon paying</t>
  </si>
  <si>
    <t>view a list of my registered events</t>
  </si>
  <si>
    <t>Upcoming and past events</t>
  </si>
  <si>
    <t>cancel the registration and refund the amount paid on my wallet</t>
  </si>
  <si>
    <t>cancellation can only be accepted if there are still 2 weeks for the event</t>
  </si>
  <si>
    <t>view amount refunded in my wallet</t>
  </si>
  <si>
    <t>receive a certificate of attendance upon finishing workshop via email</t>
  </si>
  <si>
    <t>Events Office</t>
  </si>
  <si>
    <t>create bazaars by adding the bazaar name, start and end date and time, location, short description and registration deadline</t>
  </si>
  <si>
    <t>edit any of the bazaar details entered</t>
  </si>
  <si>
    <t>Only if the bazar hasn't started yet</t>
  </si>
  <si>
    <t>create trips by adding the trip name, location, price, start and end date and time, short description, capacity, registeration deadline</t>
  </si>
  <si>
    <t>edit any of the trip details</t>
  </si>
  <si>
    <t>Only if trip start date hasn't passed yet</t>
  </si>
  <si>
    <t xml:space="preserve"> Professor</t>
  </si>
  <si>
    <t>create workshops by adding the workshop name, location (GUC Cairo or GUC Berlin), start and end dates and times, short description, full agenda, faculty responsible (MET, IET, etc..), professor(s) participating, required budget, funding source (external or GUC), extra required resources, capacity, registeration deadline</t>
  </si>
  <si>
    <t>Professor</t>
  </si>
  <si>
    <t>edit any of the workshop details entered</t>
  </si>
  <si>
    <t xml:space="preserve">view a list of all workshops that i created </t>
  </si>
  <si>
    <t>view a list of participants in a workshop that i created and the number of remaining spots</t>
  </si>
  <si>
    <t>receive notifications on the system when doctors submit workshop requests</t>
  </si>
  <si>
    <t xml:space="preserve">accept and publish workshop created by a professor </t>
  </si>
  <si>
    <t xml:space="preserve">reject workshop </t>
  </si>
  <si>
    <t>request edits in workshop details</t>
  </si>
  <si>
    <t>view status and any requested edits of my submitted workshops</t>
  </si>
  <si>
    <t>receive a notification on the system if my workshop has been accepted/rejected</t>
  </si>
  <si>
    <t>create conferences by adding the conference name, start and end dates and times, short description, full agenda, conference website link, required budget, source of funding (extrernal or GUC), extra required resources</t>
  </si>
  <si>
    <t>the conference website will contain all the conference's details. Each conference usually has a landing page so there will be no need to add ALL the info to the event on the system</t>
  </si>
  <si>
    <t>edit any of the conference details</t>
  </si>
  <si>
    <t>archive events that have already passed</t>
  </si>
  <si>
    <t>this applies to ALL kinds of events on the system</t>
  </si>
  <si>
    <t>Events Office/Admin</t>
  </si>
  <si>
    <t>delete any event</t>
  </si>
  <si>
    <t>if no one registered for it yet</t>
  </si>
  <si>
    <t xml:space="preserve">Events Office </t>
  </si>
  <si>
    <t>export names of those registered for any event (except conferences) in a .xlxs sheet</t>
  </si>
  <si>
    <t>restrict events to specific users</t>
  </si>
  <si>
    <t>means i can choose if this workshop is only available for students for example</t>
  </si>
  <si>
    <t>generate QR codes for external visitors to bazaars and career fairs</t>
  </si>
  <si>
    <t xml:space="preserve">view a report containing the total number of attendees in events </t>
  </si>
  <si>
    <t>filter the report of total number of attendees in events by event name/event type/date</t>
  </si>
  <si>
    <t>view a sales report containing all the revenue from different events</t>
  </si>
  <si>
    <t>filter sales report based on event type and/or date</t>
  </si>
  <si>
    <t>sort sales report by revenue (least to greatest or greatest to least)</t>
  </si>
  <si>
    <t>receive notifications on the system for any new added events</t>
  </si>
  <si>
    <t>receive reminders as notifications on the system for any events i registered for 1 day and 1 hour prior</t>
  </si>
  <si>
    <t xml:space="preserve">view a list of upcoming bazaars </t>
  </si>
  <si>
    <t xml:space="preserve">apply to join a bazaar from the list of bazaars by filling in a form with the following details: names and emails of a max of 5 individuals attending, booth size </t>
  </si>
  <si>
    <t>booth size can be 2x2 or 4x4</t>
  </si>
  <si>
    <t xml:space="preserve">apply for a booth in platform by filling in a form with the following details: names and emails of a max of 5 individuals attending, duration of booth set up, location of booth setup, booth size </t>
  </si>
  <si>
    <t>duration can be 1 week - 4 weeks and location in platform will be selected according to a map of the platform and booth size can be 2x2 or 4x4</t>
  </si>
  <si>
    <t>upload IDs of individuals attending for the entire duration of bazaar or booth set up in platform</t>
  </si>
  <si>
    <t>receive an email notification if my request to apply to join a bazaar or apply for a booth has been accepted/rejected</t>
  </si>
  <si>
    <t>pay participation fees for bazaar/booth upon acceptance of the request</t>
  </si>
  <si>
    <t>for booth: based on duration and location, for bazaar, based on location and booth size. Deadline for payment for vendor must be 3 days after receiving the acceptance email</t>
  </si>
  <si>
    <t>receive QR code for all registered visitors coming to the bazaar/booth via email</t>
  </si>
  <si>
    <t>cancel my participation request</t>
  </si>
  <si>
    <t>this can only happen if the vendor has not paid yet</t>
  </si>
  <si>
    <t>view all upcoming bazaars or booth set ups I am participating in (accepted requests only)</t>
  </si>
  <si>
    <t>view all requests for upcoming bazaars or booth set ups I want to participate in (pending or rejected)</t>
  </si>
  <si>
    <t>apply to participate in GUC loyalty program by filling form that includes discount rate,promo code, terms and conditions</t>
  </si>
  <si>
    <t>cancel my participation in GUC loyalty program</t>
  </si>
  <si>
    <t>Student/Staff/TA/Professor/ Events Office/Admin</t>
  </si>
  <si>
    <t>view a list of all vendors that are partners in GUC loyalty program along with discount rates,promo code, terms and conditions</t>
  </si>
  <si>
    <t xml:space="preserve">receive notifications on the system for newly added partners in GUC loyalty program </t>
  </si>
  <si>
    <t>receive notifications on the system for pending vendor requests</t>
  </si>
  <si>
    <t>view the details of vendor participation requests in bazaars or booths</t>
  </si>
  <si>
    <t>view/ download uploaded documents</t>
  </si>
  <si>
    <t>accept /reject vendors participation requests</t>
  </si>
  <si>
    <t>view all the courts on campus (basketball/tennis/football) and their availability dates and times</t>
  </si>
  <si>
    <t>reserve a court (basketball/ tennis/ football) by choosing from the free dates and times</t>
  </si>
  <si>
    <t>reservation should automatially include the student's name and GUC ID number</t>
  </si>
  <si>
    <t>view the gym schedule for each month's sessions (e.g. yoga, pilates, aerobics, Zumba, cross circuit, kick-boxing)</t>
  </si>
  <si>
    <t>register to attend a session</t>
  </si>
  <si>
    <t>create a poll with different vendors requesting to set up booths in the platform during the same durations</t>
  </si>
  <si>
    <t>vote for a vendor to come and set up a booth in the platform based on the poll</t>
  </si>
  <si>
    <t>create a gym session with the following details: date, time, duration, type (e.g. yoga, pilates, aerobics, Zumba, cross circuit, kick-boxing), max number of participants</t>
  </si>
  <si>
    <t>cancel a gym session</t>
  </si>
  <si>
    <t>edit a gym session</t>
  </si>
  <si>
    <t>date, time, duration only can be edited</t>
  </si>
  <si>
    <t>receive an email notification if a gym session I registered to attend was cancelled or edited</t>
  </si>
  <si>
    <t>who</t>
  </si>
  <si>
    <t>done</t>
  </si>
  <si>
    <t xml:space="preserve"> Ali Ussama Youssef</t>
  </si>
  <si>
    <t>Ali Ussama Youssef</t>
  </si>
  <si>
    <t>Ahmed Mohamed Elsayed</t>
  </si>
  <si>
    <t>Abdelhamid Sameh Abdelhamid</t>
  </si>
  <si>
    <t>Yehia Wael Raafat</t>
  </si>
  <si>
    <t>Ahmed Hamdy Mostafa</t>
  </si>
  <si>
    <t>Ahmed Khalid Mohamed</t>
  </si>
  <si>
    <t>NOTE: UI AND UX GRADING WILL BE SUBJECTIVE (BASED ON OPINION OF ASSIGNED PRODUCT MANAGER)</t>
  </si>
  <si>
    <t>UX</t>
  </si>
  <si>
    <t>Sprint #</t>
  </si>
  <si>
    <t>Out of</t>
  </si>
  <si>
    <t>Comments</t>
  </si>
  <si>
    <t>Information Architecture</t>
  </si>
  <si>
    <t>Information layout on pages are divided properly, not a lot of whitepaces, no random buttons, menus are created correctly</t>
  </si>
  <si>
    <t>Feedback and Responsiveness</t>
  </si>
  <si>
    <t>Navigation is Reversible</t>
  </si>
  <si>
    <t>DO NOT rely on the back button of the browser! 1 mark pre non-revisrsible page</t>
  </si>
  <si>
    <t>Learnability</t>
  </si>
  <si>
    <t>Visibility</t>
  </si>
  <si>
    <t>Efficiency</t>
  </si>
  <si>
    <t>Design for errors</t>
  </si>
  <si>
    <t>Satisfaction</t>
  </si>
  <si>
    <t>UI</t>
  </si>
  <si>
    <t>UI elements</t>
  </si>
  <si>
    <t>Menus, buttons, tables, etc.. are symmetric and consistent</t>
  </si>
  <si>
    <t>UI looks professional</t>
  </si>
  <si>
    <t>Smooth app flow (all past requirements are working)</t>
  </si>
  <si>
    <t>A max of 20 marks can be lost if any requirements completed in previous sprint but are no longer working. 1 mark per not working requirement.</t>
  </si>
  <si>
    <t>Total</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</si>
</sst>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color theme="1"/>
      <name val="Calibri"/>
    </font>
    <font>
      <b/>
      <sz val="11.0"/>
      <color theme="1"/>
      <name val="Calibri"/>
    </font>
    <font>
      <color theme="1"/>
      <name val="Calibri"/>
      <scheme val="minor"/>
    </font>
    <font>
      <sz val="11.0"/>
      <color theme="1"/>
      <name val="Calibri"/>
    </font>
    <font>
      <color theme="1"/>
      <name val="Arial"/>
    </font>
    <font>
      <b/>
      <sz val="15.0"/>
      <color rgb="FFEA4335"/>
      <name val="Arial"/>
    </font>
    <font>
      <b/>
      <i/>
      <sz val="14.0"/>
      <color rgb="FFFFFFFF"/>
      <name val="Arial"/>
    </font>
    <font>
      <sz val="12.0"/>
      <color theme="1"/>
      <name val="Arial"/>
    </font>
    <font>
      <b/>
      <sz val="12.0"/>
      <color theme="1"/>
      <name val="Calibri"/>
    </font>
    <font>
      <b/>
      <sz val="15.0"/>
      <color theme="1"/>
      <name val="Arial"/>
    </font>
    <font>
      <b/>
      <sz val="12.0"/>
      <color theme="1"/>
      <name val="Arial"/>
    </font>
    <font>
      <sz val="12.0"/>
      <color theme="1"/>
      <name val="Calibri"/>
    </font>
  </fonts>
  <fills count="4">
    <fill>
      <patternFill patternType="none"/>
    </fill>
    <fill>
      <patternFill patternType="lightGray"/>
    </fill>
    <fill>
      <patternFill patternType="solid">
        <fgColor rgb="FFFFFFFF"/>
        <bgColor rgb="FFFFFFFF"/>
      </patternFill>
    </fill>
    <fill>
      <patternFill patternType="solid">
        <fgColor rgb="FF000000"/>
        <bgColor rgb="FF000000"/>
      </patternFill>
    </fill>
  </fills>
  <borders count="3">
    <border/>
    <border>
      <left style="thin">
        <color rgb="FF000000"/>
      </left>
      <right style="thin">
        <color rgb="FF000000"/>
      </right>
      <top style="thin">
        <color rgb="FF000000"/>
      </top>
      <bottom style="thin">
        <color rgb="FF000000"/>
      </bottom>
    </border>
    <border>
      <left style="thick">
        <color rgb="FF000000"/>
      </left>
      <right style="thick">
        <color rgb="FF000000"/>
      </right>
      <top style="thick">
        <color rgb="FF000000"/>
      </top>
      <bottom style="thick">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horizontal="center"/>
    </xf>
    <xf borderId="1" fillId="0" fontId="2" numFmtId="0" xfId="0" applyAlignment="1" applyBorder="1" applyFont="1">
      <alignment horizontal="left" shrinkToFit="0" vertical="center" wrapText="1"/>
    </xf>
    <xf borderId="0" fillId="0" fontId="2" numFmtId="0" xfId="0" applyAlignment="1" applyFont="1">
      <alignment shrinkToFit="0" vertical="center" wrapText="1"/>
    </xf>
    <xf borderId="0" fillId="0" fontId="1" numFmtId="0" xfId="0" applyFont="1"/>
    <xf borderId="0" fillId="0" fontId="3" numFmtId="0" xfId="0" applyAlignment="1" applyFont="1">
      <alignment readingOrder="0"/>
    </xf>
    <xf borderId="0" fillId="0" fontId="4" numFmtId="0" xfId="0" applyAlignment="1" applyFont="1">
      <alignment horizontal="center"/>
    </xf>
    <xf borderId="0" fillId="0" fontId="4" numFmtId="0" xfId="0" applyAlignment="1" applyFont="1">
      <alignment horizontal="left" shrinkToFit="0" vertical="center" wrapText="1"/>
    </xf>
    <xf borderId="0" fillId="0" fontId="4" numFmtId="0" xfId="0" applyAlignment="1" applyFont="1">
      <alignment shrinkToFit="0" vertical="center" wrapText="1"/>
    </xf>
    <xf borderId="0" fillId="0" fontId="4" numFmtId="0" xfId="0" applyFont="1"/>
    <xf borderId="0" fillId="0" fontId="4" numFmtId="0" xfId="0" applyAlignment="1" applyFont="1">
      <alignment horizontal="center" vertical="bottom"/>
    </xf>
    <xf borderId="0" fillId="0" fontId="4" numFmtId="0" xfId="0" applyAlignment="1" applyFont="1">
      <alignment shrinkToFit="0" wrapText="1"/>
    </xf>
    <xf borderId="0" fillId="0" fontId="4" numFmtId="0" xfId="0" applyAlignment="1" applyFont="1">
      <alignment vertical="bottom"/>
    </xf>
    <xf borderId="0" fillId="0" fontId="4" numFmtId="0" xfId="0" applyAlignment="1" applyFont="1">
      <alignment readingOrder="0" shrinkToFit="0" vertical="center" wrapText="1"/>
    </xf>
    <xf borderId="0" fillId="0" fontId="1" numFmtId="0" xfId="0" applyAlignment="1" applyFont="1">
      <alignment vertical="center"/>
    </xf>
    <xf borderId="0" fillId="0" fontId="3" numFmtId="0" xfId="0" applyFont="1"/>
    <xf borderId="0" fillId="2" fontId="5" numFmtId="0" xfId="0" applyAlignment="1" applyFill="1" applyFont="1">
      <alignment vertical="bottom"/>
    </xf>
    <xf borderId="0" fillId="2" fontId="6" numFmtId="0" xfId="0" applyAlignment="1" applyFont="1">
      <alignment horizontal="center" vertical="bottom"/>
    </xf>
    <xf borderId="0" fillId="0" fontId="5" numFmtId="0" xfId="0" applyAlignment="1" applyFont="1">
      <alignment vertical="bottom"/>
    </xf>
    <xf borderId="0" fillId="3" fontId="5" numFmtId="0" xfId="0" applyAlignment="1" applyFill="1" applyFont="1">
      <alignment vertical="bottom"/>
    </xf>
    <xf borderId="0" fillId="3" fontId="7" numFmtId="0" xfId="0" applyAlignment="1" applyFont="1">
      <alignment horizontal="center" vertical="bottom"/>
    </xf>
    <xf borderId="0" fillId="0" fontId="4" numFmtId="0" xfId="0" applyAlignment="1" applyFont="1">
      <alignment horizontal="right" vertical="bottom"/>
    </xf>
    <xf borderId="0" fillId="0" fontId="8" numFmtId="0" xfId="0" applyAlignment="1" applyFont="1">
      <alignment horizontal="center" vertical="bottom"/>
    </xf>
    <xf borderId="0" fillId="2" fontId="4" numFmtId="0" xfId="0" applyAlignment="1" applyFont="1">
      <alignment vertical="bottom"/>
    </xf>
    <xf borderId="0" fillId="0" fontId="9" numFmtId="0" xfId="0" applyAlignment="1" applyFont="1">
      <alignment vertical="bottom"/>
    </xf>
    <xf borderId="2" fillId="0" fontId="10" numFmtId="0" xfId="0" applyAlignment="1" applyBorder="1" applyFont="1">
      <alignment horizontal="center" vertical="bottom"/>
    </xf>
    <xf borderId="0" fillId="0" fontId="11" numFmtId="0" xfId="0" applyAlignment="1" applyFont="1">
      <alignment horizontal="center" vertical="bottom"/>
    </xf>
    <xf borderId="0" fillId="0" fontId="12" numFmtId="0" xfId="0" applyAlignment="1" applyFont="1">
      <alignment shrinkToFit="0" vertical="bottom" wrapText="1"/>
    </xf>
    <xf borderId="0" fillId="0" fontId="10"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57"/>
    <col customWidth="1" min="2" max="2" width="45.43"/>
    <col customWidth="1" min="3" max="3" width="77.43"/>
    <col customWidth="1" min="4" max="4" width="51.0"/>
    <col customWidth="1" min="5" max="6" width="8.71"/>
    <col customWidth="1" min="7" max="7" width="29.57"/>
    <col customWidth="1" min="8" max="25" width="8.71"/>
  </cols>
  <sheetData>
    <row r="1" ht="14.25" customHeight="1">
      <c r="A1" s="1"/>
      <c r="B1" s="2" t="s">
        <v>0</v>
      </c>
      <c r="C1" s="2" t="s">
        <v>1</v>
      </c>
      <c r="D1" s="3" t="s">
        <v>2</v>
      </c>
      <c r="E1" s="4" t="s">
        <v>3</v>
      </c>
      <c r="F1" s="4" t="s">
        <v>4</v>
      </c>
      <c r="G1" s="5" t="s">
        <v>5</v>
      </c>
    </row>
    <row r="2" ht="14.25" customHeight="1">
      <c r="A2" s="6">
        <v>1.0</v>
      </c>
      <c r="B2" s="7" t="s">
        <v>6</v>
      </c>
      <c r="C2" s="7" t="s">
        <v>7</v>
      </c>
      <c r="D2" s="8" t="s">
        <v>8</v>
      </c>
      <c r="E2" s="9">
        <v>2.5</v>
      </c>
      <c r="F2" s="9">
        <v>1.0</v>
      </c>
      <c r="G2" s="9" t="str">
        <f>IF(ISNUMBER(MATCH(A2, 'Sprint 1'!A:A, 0)), VLOOKUP(A2, 'Sprint 1'!A:G, 7, FALSE), VLOOKUP(A2, 'Sprint 2'!A:G, 7, FALSE))</f>
        <v> Ali Ussama Youssef</v>
      </c>
      <c r="H2" s="9"/>
      <c r="I2" s="9"/>
      <c r="J2" s="9"/>
      <c r="K2" s="9"/>
      <c r="L2" s="9"/>
      <c r="M2" s="9"/>
      <c r="N2" s="9"/>
      <c r="O2" s="9"/>
      <c r="P2" s="9"/>
      <c r="Q2" s="9"/>
      <c r="R2" s="9"/>
      <c r="S2" s="9"/>
      <c r="T2" s="9"/>
      <c r="U2" s="9"/>
      <c r="V2" s="9"/>
      <c r="W2" s="9"/>
      <c r="X2" s="9"/>
      <c r="Y2" s="9"/>
    </row>
    <row r="3" ht="14.25" customHeight="1">
      <c r="A3" s="6">
        <v>2.0</v>
      </c>
      <c r="B3" s="7" t="s">
        <v>9</v>
      </c>
      <c r="C3" s="7" t="s">
        <v>10</v>
      </c>
      <c r="D3" s="8"/>
      <c r="E3" s="9">
        <v>2.0</v>
      </c>
      <c r="F3" s="9">
        <v>1.0</v>
      </c>
      <c r="G3" s="9" t="str">
        <f>IF(ISNUMBER(MATCH(A3, 'Sprint 1'!A:A, 0)), VLOOKUP(A3, 'Sprint 1'!A:G, 7, FALSE), VLOOKUP(A3, 'Sprint 2'!A:G, 7, FALSE))</f>
        <v>Ali Ussama Youssef</v>
      </c>
      <c r="H3" s="9"/>
      <c r="I3" s="9"/>
      <c r="J3" s="9"/>
      <c r="K3" s="9"/>
      <c r="L3" s="9"/>
      <c r="M3" s="9"/>
      <c r="N3" s="9"/>
      <c r="O3" s="9"/>
      <c r="P3" s="9"/>
      <c r="Q3" s="9"/>
      <c r="R3" s="9"/>
      <c r="S3" s="9"/>
      <c r="T3" s="9"/>
      <c r="U3" s="9"/>
      <c r="V3" s="9"/>
      <c r="W3" s="9"/>
      <c r="X3" s="9"/>
      <c r="Y3" s="9"/>
    </row>
    <row r="4" ht="14.25" customHeight="1">
      <c r="A4" s="10">
        <v>3.0</v>
      </c>
      <c r="B4" s="11" t="s">
        <v>9</v>
      </c>
      <c r="C4" s="11" t="s">
        <v>11</v>
      </c>
      <c r="D4" s="9"/>
      <c r="E4" s="12">
        <v>2.0</v>
      </c>
      <c r="F4" s="12">
        <v>2.0</v>
      </c>
      <c r="G4" s="9" t="str">
        <f>IF(ISNUMBER(MATCH(A4, 'Sprint 1'!A:A, 0)), VLOOKUP(A4, 'Sprint 1'!A:G, 7, FALSE), VLOOKUP(A4, 'Sprint 2'!A:G, 7, FALSE))</f>
        <v>Ali Ussama Youssef</v>
      </c>
      <c r="H4" s="12"/>
      <c r="I4" s="12"/>
      <c r="J4" s="12"/>
      <c r="K4" s="12"/>
      <c r="L4" s="12"/>
      <c r="M4" s="12"/>
      <c r="N4" s="12"/>
      <c r="O4" s="12"/>
      <c r="P4" s="12"/>
      <c r="Q4" s="12"/>
      <c r="R4" s="12"/>
      <c r="S4" s="12"/>
      <c r="T4" s="12"/>
      <c r="U4" s="12"/>
      <c r="V4" s="12"/>
      <c r="W4" s="12"/>
      <c r="X4" s="12"/>
      <c r="Y4" s="12"/>
    </row>
    <row r="5" ht="14.25" customHeight="1">
      <c r="A5" s="6">
        <v>4.0</v>
      </c>
      <c r="B5" s="7" t="s">
        <v>12</v>
      </c>
      <c r="C5" s="7" t="s">
        <v>13</v>
      </c>
      <c r="D5" s="13" t="s">
        <v>14</v>
      </c>
      <c r="E5" s="9">
        <v>2.0</v>
      </c>
      <c r="F5" s="9">
        <v>2.0</v>
      </c>
      <c r="G5" s="9" t="str">
        <f>IF(ISNUMBER(MATCH(A5, 'Sprint 1'!A:A, 0)), VLOOKUP(A5, 'Sprint 1'!A:G, 7, FALSE), VLOOKUP(A5, 'Sprint 2'!A:G, 7, FALSE))</f>
        <v>Ali Ussama Youssef</v>
      </c>
      <c r="H5" s="9"/>
      <c r="I5" s="9"/>
      <c r="J5" s="9"/>
      <c r="K5" s="9"/>
      <c r="L5" s="9"/>
      <c r="M5" s="9"/>
      <c r="N5" s="9"/>
      <c r="O5" s="9"/>
      <c r="P5" s="9"/>
      <c r="Q5" s="9"/>
      <c r="R5" s="9"/>
      <c r="S5" s="9"/>
      <c r="T5" s="9"/>
      <c r="U5" s="9"/>
      <c r="V5" s="9"/>
      <c r="W5" s="9"/>
      <c r="X5" s="9"/>
      <c r="Y5" s="9"/>
    </row>
    <row r="6" ht="14.25" customHeight="1">
      <c r="A6" s="6">
        <v>5.0</v>
      </c>
      <c r="B6" s="7" t="s">
        <v>15</v>
      </c>
      <c r="C6" s="7" t="s">
        <v>16</v>
      </c>
      <c r="D6" s="8"/>
      <c r="E6" s="9">
        <v>2.0</v>
      </c>
      <c r="F6" s="9">
        <v>1.0</v>
      </c>
      <c r="G6" s="9" t="str">
        <f>IF(ISNUMBER(MATCH(A6, 'Sprint 1'!A:A, 0)), VLOOKUP(A6, 'Sprint 1'!A:G, 7, FALSE), VLOOKUP(A6, 'Sprint 2'!A:G, 7, FALSE))</f>
        <v>Ahmed Mohamed Elsayed</v>
      </c>
      <c r="H6" s="9"/>
      <c r="I6" s="9"/>
      <c r="J6" s="9"/>
      <c r="K6" s="9"/>
      <c r="L6" s="9"/>
      <c r="M6" s="9"/>
      <c r="N6" s="9"/>
      <c r="O6" s="9"/>
      <c r="P6" s="9"/>
      <c r="Q6" s="9"/>
      <c r="R6" s="9"/>
      <c r="S6" s="9"/>
      <c r="T6" s="9"/>
      <c r="U6" s="9"/>
      <c r="V6" s="9"/>
      <c r="W6" s="9"/>
      <c r="X6" s="9"/>
      <c r="Y6" s="9"/>
    </row>
    <row r="7" ht="14.25" customHeight="1">
      <c r="A7" s="10">
        <v>6.0</v>
      </c>
      <c r="B7" s="7" t="s">
        <v>17</v>
      </c>
      <c r="C7" s="7" t="s">
        <v>18</v>
      </c>
      <c r="D7" s="8" t="s">
        <v>19</v>
      </c>
      <c r="E7" s="9">
        <v>3.0</v>
      </c>
      <c r="F7" s="9">
        <v>1.0</v>
      </c>
      <c r="G7" s="9" t="str">
        <f>IF(ISNUMBER(MATCH(A7, 'Sprint 1'!A:A, 0)), VLOOKUP(A7, 'Sprint 1'!A:G, 7, FALSE), VLOOKUP(A7, 'Sprint 2'!A:G, 7, FALSE))</f>
        <v>Ahmed Mohamed Elsayed</v>
      </c>
      <c r="H7" s="9"/>
      <c r="I7" s="9"/>
      <c r="J7" s="9"/>
      <c r="K7" s="9"/>
      <c r="L7" s="9"/>
      <c r="M7" s="9"/>
      <c r="N7" s="9"/>
      <c r="O7" s="9"/>
      <c r="P7" s="9"/>
      <c r="Q7" s="9"/>
      <c r="R7" s="9"/>
      <c r="S7" s="9"/>
      <c r="T7" s="9"/>
      <c r="U7" s="9"/>
      <c r="V7" s="9"/>
      <c r="W7" s="9"/>
      <c r="X7" s="9"/>
      <c r="Y7" s="9"/>
    </row>
    <row r="8" ht="14.25" customHeight="1">
      <c r="A8" s="6">
        <v>7.0</v>
      </c>
      <c r="B8" s="7" t="s">
        <v>15</v>
      </c>
      <c r="C8" s="7" t="s">
        <v>20</v>
      </c>
      <c r="D8" s="8"/>
      <c r="E8" s="9">
        <v>2.0</v>
      </c>
      <c r="F8" s="9">
        <v>1.0</v>
      </c>
      <c r="G8" s="9" t="str">
        <f>IF(ISNUMBER(MATCH(A8, 'Sprint 1'!A:A, 0)), VLOOKUP(A8, 'Sprint 1'!A:G, 7, FALSE), VLOOKUP(A8, 'Sprint 2'!A:G, 7, FALSE))</f>
        <v>Abdelhamid Sameh Abdelhamid</v>
      </c>
      <c r="H8" s="9"/>
      <c r="I8" s="9"/>
      <c r="J8" s="9"/>
      <c r="K8" s="9"/>
      <c r="L8" s="9"/>
      <c r="M8" s="9"/>
      <c r="N8" s="9"/>
      <c r="O8" s="9"/>
      <c r="P8" s="9"/>
      <c r="Q8" s="9"/>
      <c r="R8" s="9"/>
      <c r="S8" s="9"/>
      <c r="T8" s="9"/>
      <c r="U8" s="9"/>
      <c r="V8" s="9"/>
      <c r="W8" s="9"/>
      <c r="X8" s="9"/>
      <c r="Y8" s="9"/>
    </row>
    <row r="9" ht="14.25" customHeight="1">
      <c r="A9" s="6">
        <v>8.0</v>
      </c>
      <c r="B9" s="7" t="s">
        <v>15</v>
      </c>
      <c r="C9" s="7" t="s">
        <v>21</v>
      </c>
      <c r="D9" s="8"/>
      <c r="E9" s="9">
        <v>2.0</v>
      </c>
      <c r="F9" s="9">
        <v>1.0</v>
      </c>
      <c r="G9" s="9" t="str">
        <f>IF(ISNUMBER(MATCH(A9, 'Sprint 1'!A:A, 0)), VLOOKUP(A9, 'Sprint 1'!A:G, 7, FALSE), VLOOKUP(A9, 'Sprint 2'!A:G, 7, FALSE))</f>
        <v>Abdelhamid Sameh Abdelhamid</v>
      </c>
      <c r="H9" s="9"/>
      <c r="I9" s="9"/>
      <c r="J9" s="9"/>
      <c r="K9" s="9"/>
      <c r="L9" s="9"/>
      <c r="M9" s="9"/>
      <c r="N9" s="9"/>
      <c r="O9" s="9"/>
      <c r="P9" s="9"/>
      <c r="Q9" s="9"/>
      <c r="R9" s="9"/>
      <c r="S9" s="9"/>
      <c r="T9" s="9"/>
      <c r="U9" s="9"/>
      <c r="V9" s="9"/>
      <c r="W9" s="9"/>
      <c r="X9" s="9"/>
      <c r="Y9" s="9"/>
    </row>
    <row r="10" ht="14.25" customHeight="1">
      <c r="A10" s="10">
        <v>9.0</v>
      </c>
      <c r="B10" s="7" t="s">
        <v>22</v>
      </c>
      <c r="C10" s="7" t="s">
        <v>23</v>
      </c>
      <c r="D10" s="8" t="s">
        <v>24</v>
      </c>
      <c r="E10" s="9">
        <v>3.0</v>
      </c>
      <c r="F10" s="9">
        <v>1.0</v>
      </c>
      <c r="G10" s="9" t="str">
        <f>IF(ISNUMBER(MATCH(A10, 'Sprint 1'!A:A, 0)), VLOOKUP(A10, 'Sprint 1'!A:G, 7, FALSE), VLOOKUP(A10, 'Sprint 2'!A:G, 7, FALSE))</f>
        <v>Yehia Wael Raafat</v>
      </c>
      <c r="H10" s="9"/>
      <c r="I10" s="9"/>
      <c r="J10" s="9"/>
      <c r="K10" s="9"/>
      <c r="L10" s="9"/>
      <c r="M10" s="9"/>
      <c r="N10" s="9"/>
      <c r="O10" s="9"/>
      <c r="P10" s="9"/>
      <c r="Q10" s="9"/>
      <c r="R10" s="9"/>
      <c r="S10" s="9"/>
      <c r="T10" s="9"/>
      <c r="U10" s="9"/>
      <c r="V10" s="9"/>
      <c r="W10" s="9"/>
      <c r="X10" s="9"/>
      <c r="Y10" s="9"/>
    </row>
    <row r="11" ht="14.25" customHeight="1">
      <c r="A11" s="6">
        <v>10.0</v>
      </c>
      <c r="B11" s="7" t="s">
        <v>22</v>
      </c>
      <c r="C11" s="7" t="s">
        <v>25</v>
      </c>
      <c r="D11" s="8"/>
      <c r="E11" s="9">
        <v>3.0</v>
      </c>
      <c r="F11" s="9">
        <v>1.0</v>
      </c>
      <c r="G11" s="9" t="str">
        <f>IF(ISNUMBER(MATCH(A11, 'Sprint 1'!A:A, 0)), VLOOKUP(A11, 'Sprint 1'!A:G, 7, FALSE), VLOOKUP(A11, 'Sprint 2'!A:G, 7, FALSE))</f>
        <v>Yehia Wael Raafat</v>
      </c>
      <c r="H11" s="9"/>
      <c r="I11" s="9"/>
      <c r="J11" s="9"/>
      <c r="K11" s="9"/>
      <c r="L11" s="9"/>
      <c r="M11" s="9"/>
      <c r="N11" s="9"/>
      <c r="O11" s="9"/>
      <c r="P11" s="9"/>
      <c r="Q11" s="9"/>
      <c r="R11" s="9"/>
      <c r="S11" s="9"/>
      <c r="T11" s="9"/>
      <c r="U11" s="9"/>
      <c r="V11" s="9"/>
      <c r="W11" s="9"/>
      <c r="X11" s="9"/>
      <c r="Y11" s="9"/>
    </row>
    <row r="12" ht="14.25" customHeight="1">
      <c r="A12" s="6">
        <v>11.0</v>
      </c>
      <c r="B12" s="7" t="s">
        <v>22</v>
      </c>
      <c r="C12" s="7" t="s">
        <v>26</v>
      </c>
      <c r="D12" s="3" t="s">
        <v>27</v>
      </c>
      <c r="E12" s="9">
        <v>3.0</v>
      </c>
      <c r="F12" s="9">
        <v>1.0</v>
      </c>
      <c r="G12" s="9" t="str">
        <f>IF(ISNUMBER(MATCH(A12, 'Sprint 1'!A:A, 0)), VLOOKUP(A12, 'Sprint 1'!A:G, 7, FALSE), VLOOKUP(A12, 'Sprint 2'!A:G, 7, FALSE))</f>
        <v>Yehia Wael Raafat</v>
      </c>
      <c r="H12" s="9"/>
      <c r="I12" s="9"/>
      <c r="J12" s="9"/>
      <c r="K12" s="9"/>
      <c r="L12" s="9"/>
      <c r="M12" s="9"/>
      <c r="N12" s="9"/>
      <c r="O12" s="9"/>
      <c r="P12" s="9"/>
      <c r="Q12" s="9"/>
      <c r="R12" s="9"/>
      <c r="S12" s="9"/>
      <c r="T12" s="9"/>
      <c r="U12" s="9"/>
      <c r="V12" s="9"/>
      <c r="W12" s="9"/>
      <c r="X12" s="9"/>
      <c r="Y12" s="9"/>
    </row>
    <row r="13" ht="14.25" customHeight="1">
      <c r="A13" s="10">
        <v>12.0</v>
      </c>
      <c r="B13" s="7" t="s">
        <v>22</v>
      </c>
      <c r="C13" s="7" t="s">
        <v>28</v>
      </c>
      <c r="D13" s="8"/>
      <c r="E13" s="9">
        <v>3.0</v>
      </c>
      <c r="F13" s="9">
        <v>1.0</v>
      </c>
      <c r="G13" s="9" t="str">
        <f>IF(ISNUMBER(MATCH(A13, 'Sprint 1'!A:A, 0)), VLOOKUP(A13, 'Sprint 1'!A:G, 7, FALSE), VLOOKUP(A13, 'Sprint 2'!A:G, 7, FALSE))</f>
        <v>Yehia Wael Raafat</v>
      </c>
      <c r="H13" s="9"/>
      <c r="I13" s="9"/>
      <c r="J13" s="9"/>
      <c r="K13" s="9"/>
      <c r="L13" s="9"/>
      <c r="M13" s="9"/>
      <c r="N13" s="9"/>
      <c r="O13" s="9"/>
      <c r="P13" s="9"/>
      <c r="Q13" s="9"/>
      <c r="R13" s="9"/>
      <c r="S13" s="9"/>
      <c r="T13" s="9"/>
      <c r="U13" s="9"/>
      <c r="V13" s="9"/>
      <c r="W13" s="9"/>
      <c r="X13" s="9"/>
      <c r="Y13" s="9"/>
    </row>
    <row r="14" ht="14.25" customHeight="1">
      <c r="A14" s="6">
        <v>13.0</v>
      </c>
      <c r="B14" s="7" t="s">
        <v>22</v>
      </c>
      <c r="C14" s="7" t="s">
        <v>29</v>
      </c>
      <c r="D14" s="8"/>
      <c r="E14" s="9">
        <v>3.0</v>
      </c>
      <c r="F14" s="9">
        <v>2.0</v>
      </c>
      <c r="G14" s="9" t="str">
        <f>IF(ISNUMBER(MATCH(A14, 'Sprint 1'!A:A, 0)), VLOOKUP(A14, 'Sprint 1'!A:G, 7, FALSE), VLOOKUP(A14, 'Sprint 2'!A:G, 7, FALSE))</f>
        <v>Yehia Wael Raafat</v>
      </c>
      <c r="H14" s="9"/>
      <c r="I14" s="9"/>
      <c r="J14" s="9"/>
      <c r="K14" s="9"/>
      <c r="L14" s="9"/>
      <c r="M14" s="9"/>
      <c r="N14" s="9"/>
      <c r="O14" s="9"/>
      <c r="P14" s="9"/>
      <c r="Q14" s="9"/>
      <c r="R14" s="9"/>
      <c r="S14" s="9"/>
      <c r="T14" s="9"/>
      <c r="U14" s="9"/>
      <c r="V14" s="9"/>
      <c r="W14" s="9"/>
      <c r="X14" s="9"/>
      <c r="Y14" s="9"/>
    </row>
    <row r="15" ht="14.25" customHeight="1">
      <c r="A15" s="6">
        <v>14.0</v>
      </c>
      <c r="B15" s="7" t="s">
        <v>22</v>
      </c>
      <c r="C15" s="7" t="s">
        <v>30</v>
      </c>
      <c r="D15" s="8"/>
      <c r="E15" s="9">
        <v>3.0</v>
      </c>
      <c r="F15" s="9">
        <v>2.0</v>
      </c>
      <c r="G15" s="9" t="str">
        <f>IF(ISNUMBER(MATCH(A15, 'Sprint 1'!A:A, 0)), VLOOKUP(A15, 'Sprint 1'!A:G, 7, FALSE), VLOOKUP(A15, 'Sprint 2'!A:G, 7, FALSE))</f>
        <v>Yehia Wael Raafat</v>
      </c>
      <c r="H15" s="9"/>
      <c r="I15" s="9"/>
      <c r="J15" s="9"/>
      <c r="K15" s="9"/>
      <c r="L15" s="9"/>
      <c r="M15" s="9"/>
      <c r="N15" s="9"/>
      <c r="O15" s="9"/>
      <c r="P15" s="9"/>
      <c r="Q15" s="9"/>
      <c r="R15" s="9"/>
      <c r="S15" s="9"/>
      <c r="T15" s="9"/>
      <c r="U15" s="9"/>
      <c r="V15" s="9"/>
      <c r="W15" s="9"/>
      <c r="X15" s="9"/>
      <c r="Y15" s="9"/>
    </row>
    <row r="16" ht="14.25" customHeight="1">
      <c r="A16" s="10">
        <v>15.0</v>
      </c>
      <c r="B16" s="7" t="s">
        <v>31</v>
      </c>
      <c r="C16" s="7" t="s">
        <v>32</v>
      </c>
      <c r="D16" s="8"/>
      <c r="E16" s="9">
        <v>2.0</v>
      </c>
      <c r="F16" s="9">
        <v>2.0</v>
      </c>
      <c r="G16" s="9" t="str">
        <f>IF(ISNUMBER(MATCH(A16, 'Sprint 1'!A:A, 0)), VLOOKUP(A16, 'Sprint 1'!A:G, 7, FALSE), VLOOKUP(A16, 'Sprint 2'!A:G, 7, FALSE))</f>
        <v/>
      </c>
      <c r="H16" s="9"/>
      <c r="I16" s="9"/>
      <c r="J16" s="9"/>
      <c r="K16" s="9"/>
      <c r="L16" s="9"/>
      <c r="M16" s="9"/>
      <c r="N16" s="9"/>
      <c r="O16" s="9"/>
      <c r="P16" s="9"/>
      <c r="Q16" s="9"/>
      <c r="R16" s="9"/>
      <c r="S16" s="9"/>
      <c r="T16" s="9"/>
      <c r="U16" s="9"/>
      <c r="V16" s="9"/>
      <c r="W16" s="9"/>
      <c r="X16" s="9"/>
      <c r="Y16" s="9"/>
    </row>
    <row r="17" ht="14.25" customHeight="1">
      <c r="A17" s="6">
        <v>16.0</v>
      </c>
      <c r="B17" s="7" t="s">
        <v>33</v>
      </c>
      <c r="C17" s="7" t="s">
        <v>34</v>
      </c>
      <c r="D17" s="8"/>
      <c r="E17" s="9">
        <v>2.0</v>
      </c>
      <c r="F17" s="9">
        <v>2.0</v>
      </c>
      <c r="G17" s="9" t="str">
        <f>IF(ISNUMBER(MATCH(A17, 'Sprint 1'!A:A, 0)), VLOOKUP(A17, 'Sprint 1'!A:G, 7, FALSE), VLOOKUP(A17, 'Sprint 2'!A:G, 7, FALSE))</f>
        <v/>
      </c>
      <c r="H17" s="9"/>
      <c r="I17" s="9"/>
      <c r="J17" s="9"/>
      <c r="K17" s="9"/>
      <c r="L17" s="9"/>
      <c r="M17" s="9"/>
      <c r="N17" s="9"/>
      <c r="O17" s="9"/>
      <c r="P17" s="9"/>
      <c r="Q17" s="9"/>
      <c r="R17" s="9"/>
      <c r="S17" s="9"/>
      <c r="T17" s="9"/>
      <c r="U17" s="9"/>
      <c r="V17" s="9"/>
      <c r="W17" s="9"/>
      <c r="X17" s="9"/>
      <c r="Y17" s="9"/>
    </row>
    <row r="18" ht="14.25" customHeight="1">
      <c r="A18" s="6">
        <v>17.0</v>
      </c>
      <c r="B18" s="7" t="s">
        <v>22</v>
      </c>
      <c r="C18" s="7" t="s">
        <v>35</v>
      </c>
      <c r="D18" s="8"/>
      <c r="E18" s="9">
        <v>3.0</v>
      </c>
      <c r="F18" s="9">
        <v>2.0</v>
      </c>
      <c r="G18" s="9" t="str">
        <f>IF(ISNUMBER(MATCH(A18, 'Sprint 1'!A:A, 0)), VLOOKUP(A18, 'Sprint 1'!A:G, 7, FALSE), VLOOKUP(A18, 'Sprint 2'!A:G, 7, FALSE))</f>
        <v/>
      </c>
      <c r="H18" s="9"/>
      <c r="I18" s="9"/>
      <c r="J18" s="9"/>
      <c r="K18" s="9"/>
      <c r="L18" s="9"/>
      <c r="M18" s="9"/>
      <c r="N18" s="9"/>
      <c r="O18" s="9"/>
      <c r="P18" s="9"/>
      <c r="Q18" s="9"/>
      <c r="R18" s="9"/>
      <c r="S18" s="9"/>
      <c r="T18" s="9"/>
      <c r="U18" s="9"/>
      <c r="V18" s="9"/>
      <c r="W18" s="9"/>
      <c r="X18" s="9"/>
      <c r="Y18" s="9"/>
    </row>
    <row r="19" ht="14.25" customHeight="1">
      <c r="A19" s="10">
        <v>18.0</v>
      </c>
      <c r="B19" s="7" t="s">
        <v>15</v>
      </c>
      <c r="C19" s="7" t="s">
        <v>36</v>
      </c>
      <c r="D19" s="8"/>
      <c r="E19" s="9">
        <v>2.0</v>
      </c>
      <c r="F19" s="9">
        <v>2.0</v>
      </c>
      <c r="G19" s="9" t="str">
        <f>IF(ISNUMBER(MATCH(A19, 'Sprint 1'!A:A, 0)), VLOOKUP(A19, 'Sprint 1'!A:G, 7, FALSE), VLOOKUP(A19, 'Sprint 2'!A:G, 7, FALSE))</f>
        <v/>
      </c>
      <c r="H19" s="9"/>
      <c r="I19" s="9"/>
      <c r="J19" s="9"/>
      <c r="K19" s="9"/>
      <c r="L19" s="9"/>
      <c r="M19" s="9"/>
      <c r="N19" s="9"/>
      <c r="O19" s="9"/>
      <c r="P19" s="9"/>
      <c r="Q19" s="9"/>
      <c r="R19" s="9"/>
      <c r="S19" s="9"/>
      <c r="T19" s="9"/>
      <c r="U19" s="9"/>
      <c r="V19" s="9"/>
      <c r="W19" s="9"/>
      <c r="X19" s="9"/>
      <c r="Y19" s="9"/>
    </row>
    <row r="20" ht="14.25" customHeight="1">
      <c r="A20" s="6">
        <v>19.0</v>
      </c>
      <c r="B20" s="7" t="s">
        <v>15</v>
      </c>
      <c r="C20" s="7" t="s">
        <v>37</v>
      </c>
      <c r="D20" s="8"/>
      <c r="E20" s="9">
        <v>2.0</v>
      </c>
      <c r="F20" s="9">
        <v>2.0</v>
      </c>
      <c r="G20" s="9" t="str">
        <f>IF(ISNUMBER(MATCH(A20, 'Sprint 1'!A:A, 0)), VLOOKUP(A20, 'Sprint 1'!A:G, 7, FALSE), VLOOKUP(A20, 'Sprint 2'!A:G, 7, FALSE))</f>
        <v/>
      </c>
      <c r="H20" s="9"/>
      <c r="I20" s="9"/>
      <c r="J20" s="9"/>
      <c r="K20" s="9"/>
      <c r="L20" s="9"/>
      <c r="M20" s="9"/>
      <c r="N20" s="9"/>
      <c r="O20" s="9"/>
      <c r="P20" s="9"/>
      <c r="Q20" s="9"/>
      <c r="R20" s="9"/>
      <c r="S20" s="9"/>
      <c r="T20" s="9"/>
      <c r="U20" s="9"/>
      <c r="V20" s="9"/>
      <c r="W20" s="9"/>
      <c r="X20" s="9"/>
      <c r="Y20" s="9"/>
    </row>
    <row r="21" ht="14.25" customHeight="1">
      <c r="A21" s="6">
        <v>20.0</v>
      </c>
      <c r="B21" s="7" t="s">
        <v>15</v>
      </c>
      <c r="C21" s="7" t="s">
        <v>38</v>
      </c>
      <c r="D21" s="8"/>
      <c r="E21" s="9">
        <v>4.0</v>
      </c>
      <c r="F21" s="9">
        <v>1.0</v>
      </c>
      <c r="G21" s="9" t="str">
        <f>IF(ISNUMBER(MATCH(A21, 'Sprint 1'!A:A, 0)), VLOOKUP(A21, 'Sprint 1'!A:G, 7, FALSE), VLOOKUP(A21, 'Sprint 2'!A:G, 7, FALSE))</f>
        <v>Ahmed Mohamed Elsayed</v>
      </c>
      <c r="H21" s="9"/>
      <c r="I21" s="9"/>
      <c r="J21" s="9"/>
      <c r="K21" s="9"/>
      <c r="L21" s="9"/>
      <c r="M21" s="9"/>
      <c r="N21" s="9"/>
      <c r="O21" s="9"/>
      <c r="P21" s="9"/>
      <c r="Q21" s="9"/>
      <c r="R21" s="9"/>
      <c r="S21" s="9"/>
      <c r="T21" s="9"/>
      <c r="U21" s="9"/>
      <c r="V21" s="9"/>
      <c r="W21" s="9"/>
      <c r="X21" s="9"/>
      <c r="Y21" s="9"/>
    </row>
    <row r="22" ht="14.25" customHeight="1">
      <c r="A22" s="10">
        <v>21.0</v>
      </c>
      <c r="B22" s="7" t="s">
        <v>39</v>
      </c>
      <c r="C22" s="7" t="s">
        <v>40</v>
      </c>
      <c r="D22" s="8"/>
      <c r="E22" s="9">
        <v>5.0</v>
      </c>
      <c r="F22" s="9">
        <v>2.0</v>
      </c>
      <c r="G22" s="9" t="str">
        <f>IF(ISNUMBER(MATCH(A22, 'Sprint 1'!A:A, 0)), VLOOKUP(A22, 'Sprint 1'!A:G, 7, FALSE), VLOOKUP(A22, 'Sprint 2'!A:G, 7, FALSE))</f>
        <v/>
      </c>
      <c r="H22" s="9"/>
      <c r="I22" s="9"/>
      <c r="J22" s="9"/>
      <c r="K22" s="9"/>
      <c r="L22" s="9"/>
      <c r="M22" s="9"/>
      <c r="N22" s="9"/>
      <c r="O22" s="9"/>
      <c r="P22" s="9"/>
      <c r="Q22" s="9"/>
      <c r="R22" s="9"/>
      <c r="S22" s="9"/>
      <c r="T22" s="9"/>
      <c r="U22" s="9"/>
      <c r="V22" s="9"/>
      <c r="W22" s="9"/>
      <c r="X22" s="9"/>
      <c r="Y22" s="9"/>
    </row>
    <row r="23" ht="14.25" customHeight="1">
      <c r="A23" s="6">
        <v>22.0</v>
      </c>
      <c r="B23" s="7" t="s">
        <v>6</v>
      </c>
      <c r="C23" s="7" t="s">
        <v>41</v>
      </c>
      <c r="D23" s="8"/>
      <c r="E23" s="9">
        <v>4.0</v>
      </c>
      <c r="F23" s="9">
        <v>2.0</v>
      </c>
      <c r="G23" s="9" t="str">
        <f>IF(ISNUMBER(MATCH(A23, 'Sprint 1'!A:A, 0)), VLOOKUP(A23, 'Sprint 1'!A:G, 7, FALSE), VLOOKUP(A23, 'Sprint 2'!A:G, 7, FALSE))</f>
        <v/>
      </c>
      <c r="H23" s="9"/>
      <c r="I23" s="9"/>
      <c r="J23" s="9"/>
      <c r="K23" s="9"/>
      <c r="L23" s="9"/>
      <c r="M23" s="9"/>
      <c r="N23" s="9"/>
      <c r="O23" s="9"/>
      <c r="P23" s="9"/>
      <c r="Q23" s="9"/>
      <c r="R23" s="9"/>
      <c r="S23" s="9"/>
      <c r="T23" s="9"/>
      <c r="U23" s="9"/>
      <c r="V23" s="9"/>
      <c r="W23" s="9"/>
      <c r="X23" s="9"/>
      <c r="Y23" s="9"/>
    </row>
    <row r="24" ht="14.25" customHeight="1">
      <c r="A24" s="6">
        <v>23.0</v>
      </c>
      <c r="B24" s="7" t="s">
        <v>6</v>
      </c>
      <c r="C24" s="7" t="s">
        <v>42</v>
      </c>
      <c r="D24" s="8"/>
      <c r="E24" s="9">
        <v>4.0</v>
      </c>
      <c r="F24" s="9">
        <v>2.0</v>
      </c>
      <c r="G24" s="9" t="str">
        <f>IF(ISNUMBER(MATCH(A24, 'Sprint 1'!A:A, 0)), VLOOKUP(A24, 'Sprint 1'!A:G, 7, FALSE), VLOOKUP(A24, 'Sprint 2'!A:G, 7, FALSE))</f>
        <v/>
      </c>
      <c r="H24" s="9"/>
      <c r="I24" s="9"/>
      <c r="J24" s="9"/>
      <c r="K24" s="9"/>
      <c r="L24" s="9"/>
      <c r="M24" s="9"/>
      <c r="N24" s="9"/>
      <c r="O24" s="9"/>
      <c r="P24" s="9"/>
      <c r="Q24" s="9"/>
      <c r="R24" s="9"/>
      <c r="S24" s="9"/>
      <c r="T24" s="9"/>
      <c r="U24" s="9"/>
      <c r="V24" s="9"/>
      <c r="W24" s="9"/>
      <c r="X24" s="9"/>
      <c r="Y24" s="9"/>
    </row>
    <row r="25" ht="14.25" customHeight="1">
      <c r="A25" s="10">
        <v>24.0</v>
      </c>
      <c r="B25" s="7" t="s">
        <v>6</v>
      </c>
      <c r="C25" s="7" t="s">
        <v>43</v>
      </c>
      <c r="D25" s="8"/>
      <c r="E25" s="9">
        <v>4.0</v>
      </c>
      <c r="F25" s="9">
        <v>1.0</v>
      </c>
      <c r="G25" s="9" t="str">
        <f>IF(ISNUMBER(MATCH(A25, 'Sprint 1'!A:A, 0)), VLOOKUP(A25, 'Sprint 1'!A:G, 7, FALSE), VLOOKUP(A25, 'Sprint 2'!A:G, 7, FALSE))</f>
        <v>Yehia Wael Raafat</v>
      </c>
      <c r="H25" s="9"/>
      <c r="I25" s="9"/>
      <c r="J25" s="9"/>
      <c r="K25" s="9"/>
      <c r="L25" s="9"/>
      <c r="M25" s="9"/>
      <c r="N25" s="9"/>
      <c r="O25" s="9"/>
      <c r="P25" s="9"/>
      <c r="Q25" s="9"/>
      <c r="R25" s="9"/>
      <c r="S25" s="9"/>
      <c r="T25" s="9"/>
      <c r="U25" s="9"/>
      <c r="V25" s="9"/>
      <c r="W25" s="9"/>
      <c r="X25" s="9"/>
      <c r="Y25" s="9"/>
    </row>
    <row r="26" ht="14.25" customHeight="1">
      <c r="A26" s="6">
        <v>25.0</v>
      </c>
      <c r="B26" s="7" t="s">
        <v>6</v>
      </c>
      <c r="C26" s="7" t="s">
        <v>44</v>
      </c>
      <c r="D26" s="8"/>
      <c r="E26" s="9">
        <v>4.0</v>
      </c>
      <c r="F26" s="9">
        <v>2.0</v>
      </c>
      <c r="G26" s="9" t="str">
        <f>IF(ISNUMBER(MATCH(A26, 'Sprint 1'!A:A, 0)), VLOOKUP(A26, 'Sprint 1'!A:G, 7, FALSE), VLOOKUP(A26, 'Sprint 2'!A:G, 7, FALSE))</f>
        <v/>
      </c>
      <c r="H26" s="9"/>
      <c r="I26" s="9"/>
      <c r="J26" s="9"/>
      <c r="K26" s="9"/>
      <c r="L26" s="9"/>
      <c r="M26" s="9"/>
      <c r="N26" s="9"/>
      <c r="O26" s="9"/>
      <c r="P26" s="9"/>
      <c r="Q26" s="9"/>
      <c r="R26" s="9"/>
      <c r="S26" s="9"/>
      <c r="T26" s="9"/>
      <c r="U26" s="9"/>
      <c r="V26" s="9"/>
      <c r="W26" s="9"/>
      <c r="X26" s="9"/>
      <c r="Y26" s="9"/>
    </row>
    <row r="27" ht="14.25" customHeight="1">
      <c r="A27" s="6">
        <v>26.0</v>
      </c>
      <c r="B27" s="7" t="s">
        <v>6</v>
      </c>
      <c r="C27" s="7" t="s">
        <v>45</v>
      </c>
      <c r="D27" s="8"/>
      <c r="E27" s="9">
        <v>4.0</v>
      </c>
      <c r="F27" s="9">
        <v>2.0</v>
      </c>
      <c r="G27" s="9" t="str">
        <f>IF(ISNUMBER(MATCH(A27, 'Sprint 1'!A:A, 0)), VLOOKUP(A27, 'Sprint 1'!A:G, 7, FALSE), VLOOKUP(A27, 'Sprint 2'!A:G, 7, FALSE))</f>
        <v/>
      </c>
      <c r="H27" s="9"/>
      <c r="I27" s="9"/>
      <c r="J27" s="9"/>
      <c r="K27" s="9"/>
      <c r="L27" s="9"/>
      <c r="M27" s="9"/>
      <c r="N27" s="9"/>
      <c r="O27" s="9"/>
      <c r="P27" s="9"/>
      <c r="Q27" s="9"/>
      <c r="R27" s="9"/>
      <c r="S27" s="9"/>
      <c r="T27" s="9"/>
      <c r="U27" s="9"/>
      <c r="V27" s="9"/>
      <c r="W27" s="9"/>
      <c r="X27" s="9"/>
      <c r="Y27" s="9"/>
    </row>
    <row r="28" ht="14.25" customHeight="1">
      <c r="A28" s="10">
        <v>27.0</v>
      </c>
      <c r="B28" s="7" t="s">
        <v>6</v>
      </c>
      <c r="C28" s="7" t="s">
        <v>46</v>
      </c>
      <c r="D28" s="8" t="s">
        <v>47</v>
      </c>
      <c r="E28" s="14">
        <v>4.0</v>
      </c>
      <c r="F28" s="14">
        <v>1.0</v>
      </c>
      <c r="G28" s="9" t="str">
        <f>IF(ISNUMBER(MATCH(A28, 'Sprint 1'!A:A, 0)), VLOOKUP(A28, 'Sprint 1'!A:G, 7, FALSE), VLOOKUP(A28, 'Sprint 2'!A:G, 7, FALSE))</f>
        <v>Yehia Wael Raafat</v>
      </c>
      <c r="H28" s="14"/>
      <c r="I28" s="14"/>
      <c r="J28" s="14"/>
      <c r="K28" s="14"/>
      <c r="L28" s="14"/>
      <c r="M28" s="14"/>
      <c r="N28" s="14"/>
      <c r="O28" s="14"/>
      <c r="P28" s="14"/>
      <c r="Q28" s="14"/>
      <c r="R28" s="14"/>
      <c r="S28" s="14"/>
      <c r="T28" s="14"/>
      <c r="U28" s="14"/>
      <c r="V28" s="14"/>
      <c r="W28" s="14"/>
      <c r="X28" s="14"/>
      <c r="Y28" s="14"/>
    </row>
    <row r="29" ht="14.25" customHeight="1">
      <c r="A29" s="6">
        <v>28.0</v>
      </c>
      <c r="B29" s="7" t="s">
        <v>6</v>
      </c>
      <c r="C29" s="7" t="s">
        <v>48</v>
      </c>
      <c r="D29" s="8" t="s">
        <v>49</v>
      </c>
      <c r="E29" s="9">
        <v>4.0</v>
      </c>
      <c r="F29" s="9">
        <v>2.0</v>
      </c>
      <c r="G29" s="9" t="str">
        <f>IF(ISNUMBER(MATCH(A29, 'Sprint 1'!A:A, 0)), VLOOKUP(A29, 'Sprint 1'!A:G, 7, FALSE), VLOOKUP(A29, 'Sprint 2'!A:G, 7, FALSE))</f>
        <v/>
      </c>
      <c r="H29" s="9"/>
      <c r="I29" s="9"/>
      <c r="J29" s="9"/>
      <c r="K29" s="9"/>
      <c r="L29" s="9"/>
      <c r="M29" s="9"/>
      <c r="N29" s="9"/>
      <c r="O29" s="9"/>
      <c r="P29" s="9"/>
      <c r="Q29" s="9"/>
      <c r="R29" s="9"/>
      <c r="S29" s="9"/>
      <c r="T29" s="9"/>
      <c r="U29" s="9"/>
      <c r="V29" s="9"/>
      <c r="W29" s="9"/>
      <c r="X29" s="9"/>
      <c r="Y29" s="9"/>
    </row>
    <row r="30" ht="14.25" customHeight="1">
      <c r="A30" s="6">
        <v>29.0</v>
      </c>
      <c r="B30" s="7" t="s">
        <v>6</v>
      </c>
      <c r="C30" s="7" t="s">
        <v>50</v>
      </c>
      <c r="D30" s="8"/>
      <c r="E30" s="9">
        <v>4.0</v>
      </c>
      <c r="F30" s="9">
        <v>2.0</v>
      </c>
      <c r="G30" s="9" t="str">
        <f>IF(ISNUMBER(MATCH(A30, 'Sprint 1'!A:A, 0)), VLOOKUP(A30, 'Sprint 1'!A:G, 7, FALSE), VLOOKUP(A30, 'Sprint 2'!A:G, 7, FALSE))</f>
        <v/>
      </c>
      <c r="H30" s="9"/>
      <c r="I30" s="9"/>
      <c r="J30" s="9"/>
      <c r="K30" s="9"/>
      <c r="L30" s="9"/>
      <c r="M30" s="9"/>
      <c r="N30" s="9"/>
      <c r="O30" s="9"/>
      <c r="P30" s="9"/>
      <c r="Q30" s="9"/>
      <c r="R30" s="9"/>
      <c r="S30" s="9"/>
      <c r="T30" s="9"/>
      <c r="U30" s="9"/>
      <c r="V30" s="9"/>
      <c r="W30" s="9"/>
      <c r="X30" s="9"/>
      <c r="Y30" s="9"/>
    </row>
    <row r="31" ht="14.25" customHeight="1">
      <c r="A31" s="10">
        <v>30.0</v>
      </c>
      <c r="B31" s="7" t="s">
        <v>6</v>
      </c>
      <c r="C31" s="7" t="s">
        <v>51</v>
      </c>
      <c r="D31" s="8"/>
      <c r="E31" s="9">
        <v>4.0</v>
      </c>
      <c r="F31" s="9">
        <v>2.0</v>
      </c>
      <c r="G31" s="9" t="str">
        <f>IF(ISNUMBER(MATCH(A31, 'Sprint 1'!A:A, 0)), VLOOKUP(A31, 'Sprint 1'!A:G, 7, FALSE), VLOOKUP(A31, 'Sprint 2'!A:G, 7, FALSE))</f>
        <v/>
      </c>
      <c r="H31" s="9"/>
      <c r="I31" s="9"/>
      <c r="J31" s="9"/>
      <c r="K31" s="9"/>
      <c r="L31" s="9"/>
      <c r="M31" s="9"/>
      <c r="N31" s="9"/>
      <c r="O31" s="9"/>
      <c r="P31" s="9"/>
      <c r="Q31" s="9"/>
      <c r="R31" s="9"/>
      <c r="S31" s="9"/>
      <c r="T31" s="9"/>
      <c r="U31" s="9"/>
      <c r="V31" s="9"/>
      <c r="W31" s="9"/>
      <c r="X31" s="9"/>
      <c r="Y31" s="9"/>
    </row>
    <row r="32" ht="14.25" customHeight="1">
      <c r="A32" s="6">
        <v>31.0</v>
      </c>
      <c r="B32" s="7" t="s">
        <v>52</v>
      </c>
      <c r="C32" s="7" t="s">
        <v>53</v>
      </c>
      <c r="D32" s="8"/>
      <c r="E32" s="4">
        <v>2.0</v>
      </c>
      <c r="F32" s="4">
        <v>1.0</v>
      </c>
      <c r="G32" s="9" t="str">
        <f>IF(ISNUMBER(MATCH(A32, 'Sprint 1'!A:A, 0)), VLOOKUP(A32, 'Sprint 1'!A:G, 7, FALSE), VLOOKUP(A32, 'Sprint 2'!A:G, 7, FALSE))</f>
        <v>Ahmed Hamdy Mostafa</v>
      </c>
    </row>
    <row r="33" ht="14.25" customHeight="1">
      <c r="A33" s="6">
        <v>32.0</v>
      </c>
      <c r="B33" s="7" t="s">
        <v>52</v>
      </c>
      <c r="C33" s="7" t="s">
        <v>54</v>
      </c>
      <c r="D33" s="8" t="s">
        <v>55</v>
      </c>
      <c r="E33" s="4">
        <v>2.0</v>
      </c>
      <c r="F33" s="4">
        <v>1.0</v>
      </c>
      <c r="G33" s="9" t="str">
        <f>IF(ISNUMBER(MATCH(A33, 'Sprint 1'!A:A, 0)), VLOOKUP(A33, 'Sprint 1'!A:G, 7, FALSE), VLOOKUP(A33, 'Sprint 2'!A:G, 7, FALSE))</f>
        <v>Ahmed Hamdy Mostafa</v>
      </c>
    </row>
    <row r="34" ht="14.25" customHeight="1">
      <c r="A34" s="10">
        <v>33.0</v>
      </c>
      <c r="B34" s="7" t="s">
        <v>52</v>
      </c>
      <c r="C34" s="7" t="s">
        <v>56</v>
      </c>
      <c r="D34" s="8"/>
      <c r="E34" s="4">
        <v>2.0</v>
      </c>
      <c r="F34" s="4">
        <v>1.0</v>
      </c>
      <c r="G34" s="9" t="str">
        <f>IF(ISNUMBER(MATCH(A34, 'Sprint 1'!A:A, 0)), VLOOKUP(A34, 'Sprint 1'!A:G, 7, FALSE), VLOOKUP(A34, 'Sprint 2'!A:G, 7, FALSE))</f>
        <v>Ahmed Hamdy Mostafa</v>
      </c>
    </row>
    <row r="35" ht="14.25" customHeight="1">
      <c r="A35" s="6">
        <v>34.0</v>
      </c>
      <c r="B35" s="7" t="s">
        <v>52</v>
      </c>
      <c r="C35" s="7" t="s">
        <v>57</v>
      </c>
      <c r="D35" s="8" t="s">
        <v>58</v>
      </c>
      <c r="E35" s="4">
        <v>2.0</v>
      </c>
      <c r="F35" s="4">
        <v>1.0</v>
      </c>
      <c r="G35" s="9" t="str">
        <f>IF(ISNUMBER(MATCH(A35, 'Sprint 1'!A:A, 0)), VLOOKUP(A35, 'Sprint 1'!A:G, 7, FALSE), VLOOKUP(A35, 'Sprint 2'!A:G, 7, FALSE))</f>
        <v>Ahmed Hamdy Mostafa</v>
      </c>
    </row>
    <row r="36" ht="14.25" customHeight="1">
      <c r="A36" s="6">
        <v>35.0</v>
      </c>
      <c r="B36" s="7" t="s">
        <v>59</v>
      </c>
      <c r="C36" s="7" t="s">
        <v>60</v>
      </c>
      <c r="D36" s="8"/>
      <c r="E36" s="4">
        <v>2.0</v>
      </c>
      <c r="F36" s="4">
        <v>1.0</v>
      </c>
      <c r="G36" s="9" t="str">
        <f>IF(ISNUMBER(MATCH(A36, 'Sprint 1'!A:A, 0)), VLOOKUP(A36, 'Sprint 1'!A:G, 7, FALSE), VLOOKUP(A36, 'Sprint 2'!A:G, 7, FALSE))</f>
        <v>Ahmed Mohamed Elsayed</v>
      </c>
    </row>
    <row r="37" ht="14.25" customHeight="1">
      <c r="A37" s="10">
        <v>36.0</v>
      </c>
      <c r="B37" s="7" t="s">
        <v>61</v>
      </c>
      <c r="C37" s="7" t="s">
        <v>62</v>
      </c>
      <c r="D37" s="8"/>
      <c r="E37" s="4">
        <v>2.0</v>
      </c>
      <c r="F37" s="4">
        <v>1.0</v>
      </c>
      <c r="G37" s="9" t="str">
        <f>IF(ISNUMBER(MATCH(A37, 'Sprint 1'!A:A, 0)), VLOOKUP(A37, 'Sprint 1'!A:G, 7, FALSE), VLOOKUP(A37, 'Sprint 2'!A:G, 7, FALSE))</f>
        <v>Ahmed Mohamed Elsayed</v>
      </c>
    </row>
    <row r="38" ht="14.25" customHeight="1">
      <c r="A38" s="6">
        <v>37.0</v>
      </c>
      <c r="B38" s="7" t="s">
        <v>61</v>
      </c>
      <c r="C38" s="7" t="s">
        <v>63</v>
      </c>
      <c r="D38" s="8"/>
      <c r="E38" s="4">
        <v>2.0</v>
      </c>
      <c r="F38" s="4">
        <v>1.0</v>
      </c>
      <c r="G38" s="9" t="str">
        <f>IF(ISNUMBER(MATCH(A38, 'Sprint 1'!A:A, 0)), VLOOKUP(A38, 'Sprint 1'!A:G, 7, FALSE), VLOOKUP(A38, 'Sprint 2'!A:G, 7, FALSE))</f>
        <v>Ahmed Mohamed Elsayed</v>
      </c>
    </row>
    <row r="39" ht="14.25" customHeight="1">
      <c r="A39" s="6">
        <v>38.0</v>
      </c>
      <c r="B39" s="7" t="s">
        <v>61</v>
      </c>
      <c r="C39" s="7" t="s">
        <v>64</v>
      </c>
      <c r="D39" s="8"/>
      <c r="E39" s="4">
        <v>2.0</v>
      </c>
      <c r="F39" s="9">
        <v>2.0</v>
      </c>
      <c r="G39" s="9" t="str">
        <f>IF(ISNUMBER(MATCH(A39, 'Sprint 1'!A:A, 0)), VLOOKUP(A39, 'Sprint 1'!A:G, 7, FALSE), VLOOKUP(A39, 'Sprint 2'!A:G, 7, FALSE))</f>
        <v/>
      </c>
    </row>
    <row r="40" ht="14.25" customHeight="1">
      <c r="A40" s="10">
        <v>39.0</v>
      </c>
      <c r="B40" s="7" t="s">
        <v>52</v>
      </c>
      <c r="C40" s="7" t="s">
        <v>65</v>
      </c>
      <c r="D40" s="8"/>
      <c r="E40" s="4">
        <v>2.0</v>
      </c>
      <c r="F40" s="9">
        <v>2.0</v>
      </c>
      <c r="G40" s="9" t="str">
        <f>IF(ISNUMBER(MATCH(A40, 'Sprint 1'!A:A, 0)), VLOOKUP(A40, 'Sprint 1'!A:G, 7, FALSE), VLOOKUP(A40, 'Sprint 2'!A:G, 7, FALSE))</f>
        <v/>
      </c>
    </row>
    <row r="41" ht="14.25" customHeight="1">
      <c r="A41" s="6">
        <v>40.0</v>
      </c>
      <c r="B41" s="7" t="s">
        <v>52</v>
      </c>
      <c r="C41" s="7" t="s">
        <v>66</v>
      </c>
      <c r="D41" s="8"/>
      <c r="E41" s="4">
        <v>2.0</v>
      </c>
      <c r="F41" s="4">
        <v>1.0</v>
      </c>
      <c r="G41" s="9" t="str">
        <f>IF(ISNUMBER(MATCH(A41, 'Sprint 1'!A:A, 0)), VLOOKUP(A41, 'Sprint 1'!A:G, 7, FALSE), VLOOKUP(A41, 'Sprint 2'!A:G, 7, FALSE))</f>
        <v>Ali Ussama Youssef</v>
      </c>
    </row>
    <row r="42" ht="14.25" customHeight="1">
      <c r="A42" s="6">
        <v>41.0</v>
      </c>
      <c r="B42" s="7" t="s">
        <v>52</v>
      </c>
      <c r="C42" s="7" t="s">
        <v>67</v>
      </c>
      <c r="D42" s="8"/>
      <c r="E42" s="4">
        <v>2.0</v>
      </c>
      <c r="F42" s="4">
        <v>1.0</v>
      </c>
      <c r="G42" s="9" t="str">
        <f>IF(ISNUMBER(MATCH(A42, 'Sprint 1'!A:A, 0)), VLOOKUP(A42, 'Sprint 1'!A:G, 7, FALSE), VLOOKUP(A42, 'Sprint 2'!A:G, 7, FALSE))</f>
        <v>Ali Ussama Youssef</v>
      </c>
    </row>
    <row r="43" ht="14.25" customHeight="1">
      <c r="A43" s="10">
        <v>42.0</v>
      </c>
      <c r="B43" s="7" t="s">
        <v>52</v>
      </c>
      <c r="C43" s="7" t="s">
        <v>68</v>
      </c>
      <c r="D43" s="8"/>
      <c r="E43" s="4">
        <v>2.0</v>
      </c>
      <c r="F43" s="4">
        <v>1.0</v>
      </c>
      <c r="G43" s="9" t="str">
        <f>IF(ISNUMBER(MATCH(A43, 'Sprint 1'!A:A, 0)), VLOOKUP(A43, 'Sprint 1'!A:G, 7, FALSE), VLOOKUP(A43, 'Sprint 2'!A:G, 7, FALSE))</f>
        <v>Ali Ussama Youssef</v>
      </c>
    </row>
    <row r="44" ht="14.25" customHeight="1">
      <c r="A44" s="6">
        <v>43.0</v>
      </c>
      <c r="B44" s="7" t="s">
        <v>61</v>
      </c>
      <c r="C44" s="7" t="s">
        <v>69</v>
      </c>
      <c r="D44" s="8"/>
      <c r="E44" s="4">
        <v>2.0</v>
      </c>
      <c r="F44" s="9">
        <v>2.0</v>
      </c>
      <c r="G44" s="9" t="str">
        <f>IF(ISNUMBER(MATCH(A44, 'Sprint 1'!A:A, 0)), VLOOKUP(A44, 'Sprint 1'!A:G, 7, FALSE), VLOOKUP(A44, 'Sprint 2'!A:G, 7, FALSE))</f>
        <v/>
      </c>
    </row>
    <row r="45" ht="14.25" customHeight="1">
      <c r="A45" s="6">
        <v>44.0</v>
      </c>
      <c r="B45" s="7" t="s">
        <v>61</v>
      </c>
      <c r="C45" s="7" t="s">
        <v>70</v>
      </c>
      <c r="D45" s="8"/>
      <c r="E45" s="4">
        <v>2.0</v>
      </c>
      <c r="F45" s="9">
        <v>2.0</v>
      </c>
      <c r="G45" s="9" t="str">
        <f>IF(ISNUMBER(MATCH(A45, 'Sprint 1'!A:A, 0)), VLOOKUP(A45, 'Sprint 1'!A:G, 7, FALSE), VLOOKUP(A45, 'Sprint 2'!A:G, 7, FALSE))</f>
        <v/>
      </c>
    </row>
    <row r="46" ht="14.25" customHeight="1">
      <c r="A46" s="10">
        <v>45.0</v>
      </c>
      <c r="B46" s="7" t="s">
        <v>52</v>
      </c>
      <c r="C46" s="7" t="s">
        <v>71</v>
      </c>
      <c r="D46" s="8" t="s">
        <v>72</v>
      </c>
      <c r="E46" s="14">
        <v>2.0</v>
      </c>
      <c r="F46" s="14">
        <v>1.0</v>
      </c>
      <c r="G46" s="9" t="str">
        <f>IF(ISNUMBER(MATCH(A46, 'Sprint 1'!A:A, 0)), VLOOKUP(A46, 'Sprint 1'!A:G, 7, FALSE), VLOOKUP(A46, 'Sprint 2'!A:G, 7, FALSE))</f>
        <v>Ahmed Hamdy Mostafa</v>
      </c>
      <c r="H46" s="14"/>
      <c r="I46" s="14"/>
      <c r="J46" s="14"/>
      <c r="K46" s="14"/>
      <c r="L46" s="14"/>
      <c r="M46" s="14"/>
      <c r="N46" s="14"/>
      <c r="O46" s="14"/>
      <c r="P46" s="14"/>
      <c r="Q46" s="14"/>
      <c r="R46" s="14"/>
      <c r="S46" s="14"/>
      <c r="T46" s="14"/>
      <c r="U46" s="14"/>
      <c r="V46" s="14"/>
      <c r="W46" s="14"/>
      <c r="X46" s="14"/>
      <c r="Y46" s="14"/>
    </row>
    <row r="47" ht="14.25" customHeight="1">
      <c r="A47" s="6">
        <v>46.0</v>
      </c>
      <c r="B47" s="7" t="s">
        <v>52</v>
      </c>
      <c r="C47" s="7" t="s">
        <v>73</v>
      </c>
      <c r="D47" s="8"/>
      <c r="E47" s="4">
        <v>2.0</v>
      </c>
      <c r="F47" s="4">
        <v>1.0</v>
      </c>
      <c r="G47" s="9" t="str">
        <f>IF(ISNUMBER(MATCH(A47, 'Sprint 1'!A:A, 0)), VLOOKUP(A47, 'Sprint 1'!A:G, 7, FALSE), VLOOKUP(A47, 'Sprint 2'!A:G, 7, FALSE))</f>
        <v>Ahmed Hamdy Mostafa</v>
      </c>
    </row>
    <row r="48" ht="14.25" customHeight="1">
      <c r="A48" s="6">
        <v>47.0</v>
      </c>
      <c r="B48" s="7" t="s">
        <v>52</v>
      </c>
      <c r="C48" s="7" t="s">
        <v>74</v>
      </c>
      <c r="D48" s="8" t="s">
        <v>75</v>
      </c>
      <c r="E48" s="4">
        <v>2.0</v>
      </c>
      <c r="F48" s="9">
        <v>2.0</v>
      </c>
      <c r="G48" s="9" t="str">
        <f>IF(ISNUMBER(MATCH(A48, 'Sprint 1'!A:A, 0)), VLOOKUP(A48, 'Sprint 1'!A:G, 7, FALSE), VLOOKUP(A48, 'Sprint 2'!A:G, 7, FALSE))</f>
        <v/>
      </c>
    </row>
    <row r="49" ht="14.25" customHeight="1">
      <c r="A49" s="10">
        <v>48.0</v>
      </c>
      <c r="B49" s="7" t="s">
        <v>76</v>
      </c>
      <c r="C49" s="7" t="s">
        <v>77</v>
      </c>
      <c r="D49" s="8" t="s">
        <v>78</v>
      </c>
      <c r="E49" s="4">
        <v>2.0</v>
      </c>
      <c r="F49" s="4">
        <v>1.0</v>
      </c>
      <c r="G49" s="9" t="str">
        <f>IF(ISNUMBER(MATCH(A49, 'Sprint 1'!A:A, 0)), VLOOKUP(A49, 'Sprint 1'!A:G, 7, FALSE), VLOOKUP(A49, 'Sprint 2'!A:G, 7, FALSE))</f>
        <v>Abdelhamid Sameh Abdelhamid</v>
      </c>
    </row>
    <row r="50" ht="14.25" customHeight="1">
      <c r="A50" s="6">
        <v>49.0</v>
      </c>
      <c r="B50" s="7" t="s">
        <v>79</v>
      </c>
      <c r="C50" s="7" t="s">
        <v>80</v>
      </c>
      <c r="D50" s="8"/>
      <c r="E50" s="4">
        <v>2.0</v>
      </c>
      <c r="F50" s="9">
        <v>2.0</v>
      </c>
      <c r="G50" s="9" t="str">
        <f>IF(ISNUMBER(MATCH(A50, 'Sprint 1'!A:A, 0)), VLOOKUP(A50, 'Sprint 1'!A:G, 7, FALSE), VLOOKUP(A50, 'Sprint 2'!A:G, 7, FALSE))</f>
        <v/>
      </c>
    </row>
    <row r="51" ht="14.25" customHeight="1">
      <c r="A51" s="6">
        <v>50.0</v>
      </c>
      <c r="B51" s="7" t="s">
        <v>52</v>
      </c>
      <c r="C51" s="7" t="s">
        <v>81</v>
      </c>
      <c r="D51" s="8" t="s">
        <v>82</v>
      </c>
      <c r="E51" s="4">
        <v>2.0</v>
      </c>
      <c r="F51" s="9">
        <v>2.0</v>
      </c>
      <c r="G51" s="9" t="str">
        <f>IF(ISNUMBER(MATCH(A51, 'Sprint 1'!A:A, 0)), VLOOKUP(A51, 'Sprint 1'!A:G, 7, FALSE), VLOOKUP(A51, 'Sprint 2'!A:G, 7, FALSE))</f>
        <v/>
      </c>
    </row>
    <row r="52" ht="14.25" customHeight="1">
      <c r="A52" s="10">
        <v>51.0</v>
      </c>
      <c r="B52" s="7" t="s">
        <v>52</v>
      </c>
      <c r="C52" s="7" t="s">
        <v>83</v>
      </c>
      <c r="D52" s="8"/>
      <c r="E52" s="4">
        <v>2.0</v>
      </c>
      <c r="F52" s="9">
        <v>2.0</v>
      </c>
      <c r="G52" s="9" t="str">
        <f>IF(ISNUMBER(MATCH(A52, 'Sprint 1'!A:A, 0)), VLOOKUP(A52, 'Sprint 1'!A:G, 7, FALSE), VLOOKUP(A52, 'Sprint 2'!A:G, 7, FALSE))</f>
        <v/>
      </c>
    </row>
    <row r="53" ht="14.25" customHeight="1">
      <c r="A53" s="6">
        <v>52.0</v>
      </c>
      <c r="B53" s="7" t="s">
        <v>76</v>
      </c>
      <c r="C53" s="7" t="s">
        <v>84</v>
      </c>
      <c r="D53" s="8"/>
      <c r="E53" s="4">
        <v>2.0</v>
      </c>
      <c r="F53" s="9">
        <v>2.0</v>
      </c>
      <c r="G53" s="9" t="str">
        <f>IF(ISNUMBER(MATCH(A53, 'Sprint 1'!A:A, 0)), VLOOKUP(A53, 'Sprint 1'!A:G, 7, FALSE), VLOOKUP(A53, 'Sprint 2'!A:G, 7, FALSE))</f>
        <v/>
      </c>
    </row>
    <row r="54" ht="14.25" customHeight="1">
      <c r="A54" s="6">
        <v>53.0</v>
      </c>
      <c r="B54" s="7" t="s">
        <v>76</v>
      </c>
      <c r="C54" s="7" t="s">
        <v>85</v>
      </c>
      <c r="D54" s="8"/>
      <c r="E54" s="4">
        <v>2.0</v>
      </c>
      <c r="F54" s="9">
        <v>2.0</v>
      </c>
      <c r="G54" s="9" t="str">
        <f>IF(ISNUMBER(MATCH(A54, 'Sprint 1'!A:A, 0)), VLOOKUP(A54, 'Sprint 1'!A:G, 7, FALSE), VLOOKUP(A54, 'Sprint 2'!A:G, 7, FALSE))</f>
        <v/>
      </c>
    </row>
    <row r="55" ht="14.25" customHeight="1">
      <c r="A55" s="10">
        <v>54.0</v>
      </c>
      <c r="B55" s="7" t="s">
        <v>76</v>
      </c>
      <c r="C55" s="7" t="s">
        <v>86</v>
      </c>
      <c r="D55" s="8"/>
      <c r="E55" s="4">
        <v>2.0</v>
      </c>
      <c r="F55" s="9">
        <v>2.0</v>
      </c>
      <c r="G55" s="9" t="str">
        <f>IF(ISNUMBER(MATCH(A55, 'Sprint 1'!A:A, 0)), VLOOKUP(A55, 'Sprint 1'!A:G, 7, FALSE), VLOOKUP(A55, 'Sprint 2'!A:G, 7, FALSE))</f>
        <v/>
      </c>
    </row>
    <row r="56" ht="14.25" customHeight="1">
      <c r="A56" s="6">
        <v>55.0</v>
      </c>
      <c r="B56" s="7" t="s">
        <v>76</v>
      </c>
      <c r="C56" s="7" t="s">
        <v>87</v>
      </c>
      <c r="D56" s="8"/>
      <c r="E56" s="4">
        <v>2.0</v>
      </c>
      <c r="F56" s="9">
        <v>2.0</v>
      </c>
      <c r="G56" s="9" t="str">
        <f>IF(ISNUMBER(MATCH(A56, 'Sprint 1'!A:A, 0)), VLOOKUP(A56, 'Sprint 1'!A:G, 7, FALSE), VLOOKUP(A56, 'Sprint 2'!A:G, 7, FALSE))</f>
        <v/>
      </c>
    </row>
    <row r="57" ht="14.25" customHeight="1">
      <c r="A57" s="6">
        <v>56.0</v>
      </c>
      <c r="B57" s="7" t="s">
        <v>76</v>
      </c>
      <c r="C57" s="7" t="s">
        <v>88</v>
      </c>
      <c r="D57" s="8"/>
      <c r="E57" s="4">
        <v>2.0</v>
      </c>
      <c r="F57" s="9">
        <v>2.0</v>
      </c>
      <c r="G57" s="9" t="str">
        <f>IF(ISNUMBER(MATCH(A57, 'Sprint 1'!A:A, 0)), VLOOKUP(A57, 'Sprint 1'!A:G, 7, FALSE), VLOOKUP(A57, 'Sprint 2'!A:G, 7, FALSE))</f>
        <v/>
      </c>
    </row>
    <row r="58" ht="14.25" customHeight="1">
      <c r="A58" s="10">
        <v>57.0</v>
      </c>
      <c r="B58" s="7" t="s">
        <v>39</v>
      </c>
      <c r="C58" s="7" t="s">
        <v>89</v>
      </c>
      <c r="D58" s="8"/>
      <c r="E58" s="4">
        <v>5.0</v>
      </c>
      <c r="F58" s="9">
        <v>2.0</v>
      </c>
      <c r="G58" s="9" t="str">
        <f>IF(ISNUMBER(MATCH(A58, 'Sprint 1'!A:A, 0)), VLOOKUP(A58, 'Sprint 1'!A:G, 7, FALSE), VLOOKUP(A58, 'Sprint 2'!A:G, 7, FALSE))</f>
        <v/>
      </c>
    </row>
    <row r="59" ht="14.25" customHeight="1">
      <c r="A59" s="6">
        <v>58.0</v>
      </c>
      <c r="B59" s="7" t="s">
        <v>39</v>
      </c>
      <c r="C59" s="7" t="s">
        <v>90</v>
      </c>
      <c r="D59" s="8"/>
      <c r="E59" s="4">
        <v>5.0</v>
      </c>
      <c r="F59" s="9">
        <v>2.0</v>
      </c>
      <c r="G59" s="9" t="str">
        <f>IF(ISNUMBER(MATCH(A59, 'Sprint 1'!A:A, 0)), VLOOKUP(A59, 'Sprint 1'!A:G, 7, FALSE), VLOOKUP(A59, 'Sprint 2'!A:G, 7, FALSE))</f>
        <v/>
      </c>
    </row>
    <row r="60" ht="14.25" customHeight="1">
      <c r="A60" s="6">
        <v>59.0</v>
      </c>
      <c r="B60" s="7" t="s">
        <v>9</v>
      </c>
      <c r="C60" s="7" t="s">
        <v>91</v>
      </c>
      <c r="D60" s="3"/>
      <c r="E60" s="4">
        <v>2.0</v>
      </c>
      <c r="F60" s="4">
        <v>1.0</v>
      </c>
      <c r="G60" s="9" t="str">
        <f>IF(ISNUMBER(MATCH(A60, 'Sprint 1'!A:A, 0)), VLOOKUP(A60, 'Sprint 1'!A:G, 7, FALSE), VLOOKUP(A60, 'Sprint 2'!A:G, 7, FALSE))</f>
        <v>Ahmed Khalid Mohamed</v>
      </c>
    </row>
    <row r="61" ht="14.25" customHeight="1">
      <c r="A61" s="10">
        <v>60.0</v>
      </c>
      <c r="B61" s="7" t="s">
        <v>9</v>
      </c>
      <c r="C61" s="7" t="s">
        <v>92</v>
      </c>
      <c r="D61" s="8" t="s">
        <v>93</v>
      </c>
      <c r="E61" s="4">
        <v>2.0</v>
      </c>
      <c r="F61" s="4">
        <v>1.0</v>
      </c>
      <c r="G61" s="9" t="str">
        <f>IF(ISNUMBER(MATCH(A61, 'Sprint 1'!A:A, 0)), VLOOKUP(A61, 'Sprint 1'!A:G, 7, FALSE), VLOOKUP(A61, 'Sprint 2'!A:G, 7, FALSE))</f>
        <v>Ahmed Khalid Mohamed</v>
      </c>
    </row>
    <row r="62" ht="14.25" customHeight="1">
      <c r="A62" s="6">
        <v>61.0</v>
      </c>
      <c r="B62" s="7" t="s">
        <v>9</v>
      </c>
      <c r="C62" s="7" t="s">
        <v>94</v>
      </c>
      <c r="D62" s="8" t="s">
        <v>95</v>
      </c>
      <c r="E62" s="4">
        <v>2.0</v>
      </c>
      <c r="F62" s="4">
        <v>1.0</v>
      </c>
      <c r="G62" s="9" t="str">
        <f>IF(ISNUMBER(MATCH(A62, 'Sprint 1'!A:A, 0)), VLOOKUP(A62, 'Sprint 1'!A:G, 7, FALSE), VLOOKUP(A62, 'Sprint 2'!A:G, 7, FALSE))</f>
        <v>Ahmed Khalid Mohamed</v>
      </c>
    </row>
    <row r="63" ht="14.25" customHeight="1">
      <c r="A63" s="6">
        <v>62.0</v>
      </c>
      <c r="B63" s="7" t="s">
        <v>9</v>
      </c>
      <c r="C63" s="7" t="s">
        <v>96</v>
      </c>
      <c r="D63" s="8"/>
      <c r="E63" s="4">
        <v>2.0</v>
      </c>
      <c r="F63" s="9">
        <v>2.0</v>
      </c>
      <c r="G63" s="9" t="str">
        <f>IF(ISNUMBER(MATCH(A63, 'Sprint 1'!A:A, 0)), VLOOKUP(A63, 'Sprint 1'!A:G, 7, FALSE), VLOOKUP(A63, 'Sprint 2'!A:G, 7, FALSE))</f>
        <v/>
      </c>
    </row>
    <row r="64" ht="14.25" customHeight="1">
      <c r="A64" s="10">
        <v>63.0</v>
      </c>
      <c r="B64" s="7" t="s">
        <v>9</v>
      </c>
      <c r="C64" s="7" t="s">
        <v>97</v>
      </c>
      <c r="D64" s="8"/>
      <c r="E64" s="4">
        <v>2.0</v>
      </c>
      <c r="F64" s="9">
        <v>2.0</v>
      </c>
      <c r="G64" s="9" t="str">
        <f>IF(ISNUMBER(MATCH(A64, 'Sprint 1'!A:A, 0)), VLOOKUP(A64, 'Sprint 1'!A:G, 7, FALSE), VLOOKUP(A64, 'Sprint 2'!A:G, 7, FALSE))</f>
        <v/>
      </c>
    </row>
    <row r="65" ht="14.25" customHeight="1">
      <c r="A65" s="6">
        <v>64.0</v>
      </c>
      <c r="B65" s="7" t="s">
        <v>9</v>
      </c>
      <c r="C65" s="7" t="s">
        <v>98</v>
      </c>
      <c r="D65" s="8" t="s">
        <v>99</v>
      </c>
      <c r="E65" s="4">
        <v>2.0</v>
      </c>
      <c r="F65" s="9">
        <v>2.0</v>
      </c>
      <c r="G65" s="9" t="str">
        <f>IF(ISNUMBER(MATCH(A65, 'Sprint 1'!A:A, 0)), VLOOKUP(A65, 'Sprint 1'!A:G, 7, FALSE), VLOOKUP(A65, 'Sprint 2'!A:G, 7, FALSE))</f>
        <v/>
      </c>
    </row>
    <row r="66" ht="14.25" customHeight="1">
      <c r="A66" s="6">
        <v>65.0</v>
      </c>
      <c r="B66" s="7" t="s">
        <v>9</v>
      </c>
      <c r="C66" s="7" t="s">
        <v>45</v>
      </c>
      <c r="D66" s="8"/>
      <c r="E66" s="4">
        <v>2.0</v>
      </c>
      <c r="F66" s="9">
        <v>2.0</v>
      </c>
      <c r="G66" s="9" t="str">
        <f>IF(ISNUMBER(MATCH(A66, 'Sprint 1'!A:A, 0)), VLOOKUP(A66, 'Sprint 1'!A:G, 7, FALSE), VLOOKUP(A66, 'Sprint 2'!A:G, 7, FALSE))</f>
        <v/>
      </c>
    </row>
    <row r="67" ht="14.25" customHeight="1">
      <c r="A67" s="10">
        <v>66.0</v>
      </c>
      <c r="B67" s="7" t="s">
        <v>9</v>
      </c>
      <c r="C67" s="7" t="s">
        <v>100</v>
      </c>
      <c r="D67" s="8"/>
      <c r="E67" s="4">
        <v>2.0</v>
      </c>
      <c r="F67" s="9">
        <v>2.0</v>
      </c>
      <c r="G67" s="9" t="str">
        <f>IF(ISNUMBER(MATCH(A67, 'Sprint 1'!A:A, 0)), VLOOKUP(A67, 'Sprint 1'!A:G, 7, FALSE), VLOOKUP(A67, 'Sprint 2'!A:G, 7, FALSE))</f>
        <v/>
      </c>
    </row>
    <row r="68" ht="14.25" customHeight="1">
      <c r="A68" s="6">
        <v>67.0</v>
      </c>
      <c r="B68" s="7" t="s">
        <v>9</v>
      </c>
      <c r="C68" s="7" t="s">
        <v>101</v>
      </c>
      <c r="D68" s="8" t="s">
        <v>102</v>
      </c>
      <c r="E68" s="4">
        <v>2.0</v>
      </c>
      <c r="F68" s="9">
        <v>2.0</v>
      </c>
      <c r="G68" s="9" t="str">
        <f>IF(ISNUMBER(MATCH(A68, 'Sprint 1'!A:A, 0)), VLOOKUP(A68, 'Sprint 1'!A:G, 7, FALSE), VLOOKUP(A68, 'Sprint 2'!A:G, 7, FALSE))</f>
        <v/>
      </c>
    </row>
    <row r="69" ht="14.25" customHeight="1">
      <c r="A69" s="6">
        <v>68.0</v>
      </c>
      <c r="B69" s="7" t="s">
        <v>9</v>
      </c>
      <c r="C69" s="7" t="s">
        <v>103</v>
      </c>
      <c r="D69" s="8"/>
      <c r="E69" s="4">
        <v>2.0</v>
      </c>
      <c r="F69" s="4">
        <v>1.0</v>
      </c>
      <c r="G69" s="9" t="str">
        <f>IF(ISNUMBER(MATCH(A69, 'Sprint 1'!A:A, 0)), VLOOKUP(A69, 'Sprint 1'!A:G, 7, FALSE), VLOOKUP(A69, 'Sprint 2'!A:G, 7, FALSE))</f>
        <v>Ahmed Khalid Mohamed</v>
      </c>
    </row>
    <row r="70" ht="14.25" customHeight="1">
      <c r="A70" s="10">
        <v>69.0</v>
      </c>
      <c r="B70" s="7" t="s">
        <v>9</v>
      </c>
      <c r="C70" s="7" t="s">
        <v>104</v>
      </c>
      <c r="D70" s="8"/>
      <c r="E70" s="4">
        <v>2.0</v>
      </c>
      <c r="F70" s="4">
        <v>1.0</v>
      </c>
      <c r="G70" s="9" t="str">
        <f>IF(ISNUMBER(MATCH(A70, 'Sprint 1'!A:A, 0)), VLOOKUP(A70, 'Sprint 1'!A:G, 7, FALSE), VLOOKUP(A70, 'Sprint 2'!A:G, 7, FALSE))</f>
        <v>Ahmed Khalid Mohamed</v>
      </c>
    </row>
    <row r="71" ht="14.25" customHeight="1">
      <c r="A71" s="6">
        <v>70.0</v>
      </c>
      <c r="B71" s="7" t="s">
        <v>9</v>
      </c>
      <c r="C71" s="7" t="s">
        <v>105</v>
      </c>
      <c r="D71" s="8"/>
      <c r="E71" s="4">
        <v>2.0</v>
      </c>
      <c r="F71" s="9">
        <v>2.0</v>
      </c>
      <c r="G71" s="9" t="str">
        <f>IF(ISNUMBER(MATCH(A71, 'Sprint 1'!A:A, 0)), VLOOKUP(A71, 'Sprint 1'!A:G, 7, FALSE), VLOOKUP(A71, 'Sprint 2'!A:G, 7, FALSE))</f>
        <v/>
      </c>
    </row>
    <row r="72" ht="14.25" customHeight="1">
      <c r="A72" s="6">
        <v>71.0</v>
      </c>
      <c r="B72" s="7" t="s">
        <v>9</v>
      </c>
      <c r="C72" s="7" t="s">
        <v>106</v>
      </c>
      <c r="D72" s="8"/>
      <c r="E72" s="4">
        <v>2.0</v>
      </c>
      <c r="F72" s="9">
        <v>2.0</v>
      </c>
      <c r="G72" s="9" t="str">
        <f>IF(ISNUMBER(MATCH(A72, 'Sprint 1'!A:A, 0)), VLOOKUP(A72, 'Sprint 1'!A:G, 7, FALSE), VLOOKUP(A72, 'Sprint 2'!A:G, 7, FALSE))</f>
        <v/>
      </c>
    </row>
    <row r="73" ht="14.25" customHeight="1">
      <c r="A73" s="10">
        <v>72.0</v>
      </c>
      <c r="B73" s="7" t="s">
        <v>107</v>
      </c>
      <c r="C73" s="7" t="s">
        <v>108</v>
      </c>
      <c r="D73" s="8"/>
      <c r="E73" s="4">
        <v>4.0</v>
      </c>
      <c r="F73" s="9">
        <v>2.0</v>
      </c>
      <c r="G73" s="9" t="str">
        <f>IF(ISNUMBER(MATCH(A73, 'Sprint 1'!A:A, 0)), VLOOKUP(A73, 'Sprint 1'!A:G, 7, FALSE), VLOOKUP(A73, 'Sprint 2'!A:G, 7, FALSE))</f>
        <v/>
      </c>
    </row>
    <row r="74" ht="14.25" customHeight="1">
      <c r="A74" s="6">
        <v>73.0</v>
      </c>
      <c r="B74" s="7" t="s">
        <v>6</v>
      </c>
      <c r="C74" s="7" t="s">
        <v>109</v>
      </c>
      <c r="D74" s="8"/>
      <c r="E74" s="4">
        <v>4.0</v>
      </c>
      <c r="F74" s="9">
        <v>2.0</v>
      </c>
      <c r="G74" s="9" t="str">
        <f>IF(ISNUMBER(MATCH(A74, 'Sprint 1'!A:A, 0)), VLOOKUP(A74, 'Sprint 1'!A:G, 7, FALSE), VLOOKUP(A74, 'Sprint 2'!A:G, 7, FALSE))</f>
        <v/>
      </c>
    </row>
    <row r="75" ht="14.25" customHeight="1">
      <c r="A75" s="6">
        <v>74.0</v>
      </c>
      <c r="B75" s="7" t="s">
        <v>76</v>
      </c>
      <c r="C75" s="7" t="s">
        <v>110</v>
      </c>
      <c r="D75" s="8"/>
      <c r="E75" s="4">
        <v>2.0</v>
      </c>
      <c r="F75" s="9">
        <v>2.0</v>
      </c>
      <c r="G75" s="9" t="str">
        <f>IF(ISNUMBER(MATCH(A75, 'Sprint 1'!A:A, 0)), VLOOKUP(A75, 'Sprint 1'!A:G, 7, FALSE), VLOOKUP(A75, 'Sprint 2'!A:G, 7, FALSE))</f>
        <v/>
      </c>
    </row>
    <row r="76" ht="14.25" customHeight="1">
      <c r="A76" s="10">
        <v>75.0</v>
      </c>
      <c r="B76" s="7" t="s">
        <v>76</v>
      </c>
      <c r="C76" s="7" t="s">
        <v>111</v>
      </c>
      <c r="D76" s="8"/>
      <c r="E76" s="4">
        <v>2.0</v>
      </c>
      <c r="F76" s="4">
        <v>1.0</v>
      </c>
      <c r="G76" s="9" t="str">
        <f>IF(ISNUMBER(MATCH(A76, 'Sprint 1'!A:A, 0)), VLOOKUP(A76, 'Sprint 1'!A:G, 7, FALSE), VLOOKUP(A76, 'Sprint 2'!A:G, 7, FALSE))</f>
        <v>Abdelhamid Sameh Abdelhamid</v>
      </c>
    </row>
    <row r="77" ht="14.25" customHeight="1">
      <c r="A77" s="6">
        <v>76.0</v>
      </c>
      <c r="B77" s="7" t="s">
        <v>76</v>
      </c>
      <c r="C77" s="7" t="s">
        <v>112</v>
      </c>
      <c r="D77" s="8"/>
      <c r="E77" s="4">
        <v>2.0</v>
      </c>
      <c r="F77" s="9">
        <v>2.0</v>
      </c>
      <c r="G77" s="9" t="str">
        <f>IF(ISNUMBER(MATCH(A77, 'Sprint 1'!A:A, 0)), VLOOKUP(A77, 'Sprint 1'!A:G, 7, FALSE), VLOOKUP(A77, 'Sprint 2'!A:G, 7, FALSE))</f>
        <v/>
      </c>
    </row>
    <row r="78" ht="14.25" customHeight="1">
      <c r="A78" s="6">
        <v>77.0</v>
      </c>
      <c r="B78" s="7" t="s">
        <v>76</v>
      </c>
      <c r="C78" s="7" t="s">
        <v>113</v>
      </c>
      <c r="D78" s="8"/>
      <c r="E78" s="4">
        <v>2.0</v>
      </c>
      <c r="F78" s="4">
        <v>1.0</v>
      </c>
      <c r="G78" s="9" t="str">
        <f>IF(ISNUMBER(MATCH(A78, 'Sprint 1'!A:A, 0)), VLOOKUP(A78, 'Sprint 1'!A:G, 7, FALSE), VLOOKUP(A78, 'Sprint 2'!A:G, 7, FALSE))</f>
        <v>Abdelhamid Sameh Abdelhamid</v>
      </c>
    </row>
    <row r="79" ht="14.25" customHeight="1">
      <c r="A79" s="10">
        <v>78.0</v>
      </c>
      <c r="B79" s="7" t="s">
        <v>12</v>
      </c>
      <c r="C79" s="7" t="s">
        <v>114</v>
      </c>
      <c r="D79" s="8"/>
      <c r="E79" s="4">
        <v>2.0</v>
      </c>
      <c r="F79" s="4">
        <v>1.0</v>
      </c>
      <c r="G79" s="9" t="str">
        <f>IF(ISNUMBER(MATCH(A79, 'Sprint 1'!A:A, 0)), VLOOKUP(A79, 'Sprint 1'!A:G, 7, FALSE), VLOOKUP(A79, 'Sprint 2'!A:G, 7, FALSE))</f>
        <v>Ahmed Khalid Mohamed</v>
      </c>
    </row>
    <row r="80" ht="14.25" customHeight="1">
      <c r="A80" s="6">
        <v>79.0</v>
      </c>
      <c r="B80" s="7" t="s">
        <v>12</v>
      </c>
      <c r="C80" s="7" t="s">
        <v>115</v>
      </c>
      <c r="D80" s="8" t="s">
        <v>116</v>
      </c>
      <c r="E80" s="4">
        <v>2.0</v>
      </c>
      <c r="F80" s="9">
        <v>2.0</v>
      </c>
      <c r="G80" s="9" t="str">
        <f>IF(ISNUMBER(MATCH(A80, 'Sprint 1'!A:A, 0)), VLOOKUP(A80, 'Sprint 1'!A:G, 7, FALSE), VLOOKUP(A80, 'Sprint 2'!A:G, 7, FALSE))</f>
        <v/>
      </c>
    </row>
    <row r="81" ht="14.25" customHeight="1">
      <c r="A81" s="6">
        <v>80.0</v>
      </c>
      <c r="B81" s="7" t="s">
        <v>39</v>
      </c>
      <c r="C81" s="7" t="s">
        <v>117</v>
      </c>
      <c r="D81" s="8"/>
      <c r="E81" s="4">
        <v>2.5</v>
      </c>
      <c r="F81" s="4">
        <v>1.0</v>
      </c>
      <c r="G81" s="9" t="str">
        <f>IF(ISNUMBER(MATCH(A81, 'Sprint 1'!A:A, 0)), VLOOKUP(A81, 'Sprint 1'!A:G, 7, FALSE), VLOOKUP(A81, 'Sprint 2'!A:G, 7, FALSE))</f>
        <v>Ahmed Khalid Mohamed</v>
      </c>
    </row>
    <row r="82" ht="14.25" customHeight="1">
      <c r="A82" s="10">
        <v>81.0</v>
      </c>
      <c r="B82" s="7" t="s">
        <v>6</v>
      </c>
      <c r="C82" s="7" t="s">
        <v>118</v>
      </c>
      <c r="D82" s="8"/>
      <c r="E82" s="4">
        <v>4.0</v>
      </c>
      <c r="F82" s="9">
        <v>2.0</v>
      </c>
      <c r="G82" s="9" t="str">
        <f>IF(ISNUMBER(MATCH(A82, 'Sprint 1'!A:A, 0)), VLOOKUP(A82, 'Sprint 1'!A:G, 7, FALSE), VLOOKUP(A82, 'Sprint 2'!A:G, 7, FALSE))</f>
        <v/>
      </c>
    </row>
    <row r="83" ht="14.25" customHeight="1">
      <c r="A83" s="6">
        <v>82.0</v>
      </c>
      <c r="B83" s="7" t="s">
        <v>52</v>
      </c>
      <c r="C83" s="7" t="s">
        <v>119</v>
      </c>
      <c r="D83" s="8"/>
      <c r="E83" s="4">
        <v>2.0</v>
      </c>
      <c r="F83" s="9">
        <v>2.0</v>
      </c>
      <c r="G83" s="9" t="str">
        <f>IF(ISNUMBER(MATCH(A83, 'Sprint 1'!A:A, 0)), VLOOKUP(A83, 'Sprint 1'!A:G, 7, FALSE), VLOOKUP(A83, 'Sprint 2'!A:G, 7, FALSE))</f>
        <v/>
      </c>
    </row>
    <row r="84" ht="14.25" customHeight="1">
      <c r="A84" s="6">
        <v>83.0</v>
      </c>
      <c r="B84" s="7" t="s">
        <v>6</v>
      </c>
      <c r="C84" s="7" t="s">
        <v>120</v>
      </c>
      <c r="D84" s="8"/>
      <c r="E84" s="4">
        <v>4.0</v>
      </c>
      <c r="F84" s="9">
        <v>2.0</v>
      </c>
      <c r="G84" s="9" t="str">
        <f>IF(ISNUMBER(MATCH(A84, 'Sprint 1'!A:A, 0)), VLOOKUP(A84, 'Sprint 1'!A:G, 7, FALSE), VLOOKUP(A84, 'Sprint 2'!A:G, 7, FALSE))</f>
        <v/>
      </c>
    </row>
    <row r="85" ht="14.25" customHeight="1">
      <c r="A85" s="10">
        <v>84.0</v>
      </c>
      <c r="B85" s="7" t="s">
        <v>52</v>
      </c>
      <c r="C85" s="7" t="s">
        <v>121</v>
      </c>
      <c r="D85" s="8"/>
      <c r="E85" s="4">
        <v>2.0</v>
      </c>
      <c r="F85" s="4">
        <v>1.0</v>
      </c>
      <c r="G85" s="9" t="str">
        <f>IF(ISNUMBER(MATCH(A85, 'Sprint 1'!A:A, 0)), VLOOKUP(A85, 'Sprint 1'!A:G, 7, FALSE), VLOOKUP(A85, 'Sprint 2'!A:G, 7, FALSE))</f>
        <v>Ahmed Khalid Mohamed</v>
      </c>
    </row>
    <row r="86" ht="14.25" customHeight="1">
      <c r="A86" s="6">
        <v>85.0</v>
      </c>
      <c r="B86" s="7" t="s">
        <v>52</v>
      </c>
      <c r="C86" s="7" t="s">
        <v>122</v>
      </c>
      <c r="D86" s="8"/>
      <c r="E86" s="4">
        <v>2.0</v>
      </c>
      <c r="F86" s="9">
        <v>2.0</v>
      </c>
      <c r="G86" s="9" t="str">
        <f>IF(ISNUMBER(MATCH(A86, 'Sprint 1'!A:A, 0)), VLOOKUP(A86, 'Sprint 1'!A:G, 7, FALSE), VLOOKUP(A86, 'Sprint 2'!A:G, 7, FALSE))</f>
        <v/>
      </c>
    </row>
    <row r="87" ht="14.25" customHeight="1">
      <c r="A87" s="6">
        <v>86.0</v>
      </c>
      <c r="B87" s="7" t="s">
        <v>52</v>
      </c>
      <c r="C87" s="7" t="s">
        <v>123</v>
      </c>
      <c r="D87" s="8" t="s">
        <v>124</v>
      </c>
      <c r="E87" s="4">
        <v>2.0</v>
      </c>
      <c r="F87" s="9">
        <v>2.0</v>
      </c>
      <c r="G87" s="9" t="str">
        <f>IF(ISNUMBER(MATCH(A87, 'Sprint 1'!A:A, 0)), VLOOKUP(A87, 'Sprint 1'!A:G, 7, FALSE), VLOOKUP(A87, 'Sprint 2'!A:G, 7, FALSE))</f>
        <v/>
      </c>
    </row>
    <row r="88" ht="14.25" customHeight="1">
      <c r="A88" s="10">
        <v>87.0</v>
      </c>
      <c r="B88" s="7" t="s">
        <v>6</v>
      </c>
      <c r="C88" s="7" t="s">
        <v>125</v>
      </c>
      <c r="D88" s="8"/>
      <c r="E88" s="4">
        <v>4.0</v>
      </c>
      <c r="F88" s="9">
        <v>2.0</v>
      </c>
      <c r="G88" s="9" t="str">
        <f>IF(ISNUMBER(MATCH(A88, 'Sprint 1'!A:A, 0)), VLOOKUP(A88, 'Sprint 1'!A:G, 7, FALSE), VLOOKUP(A88, 'Sprint 2'!A:G, 7, FALSE))</f>
        <v/>
      </c>
    </row>
    <row r="89" ht="14.25" customHeight="1">
      <c r="A89" s="1"/>
      <c r="B89" s="7"/>
      <c r="C89" s="7"/>
      <c r="D89" s="8"/>
    </row>
    <row r="90" ht="14.25" customHeight="1">
      <c r="A90" s="1"/>
      <c r="B90" s="7"/>
      <c r="C90" s="7"/>
      <c r="D90" s="8"/>
    </row>
    <row r="91" ht="14.25" customHeight="1">
      <c r="A91" s="1"/>
      <c r="B91" s="7"/>
      <c r="C91" s="7"/>
      <c r="D91" s="8"/>
    </row>
    <row r="92" ht="14.25" customHeight="1">
      <c r="A92" s="1"/>
      <c r="B92" s="7"/>
      <c r="C92" s="7"/>
      <c r="D92" s="8"/>
    </row>
    <row r="93" ht="14.25" customHeight="1">
      <c r="A93" s="1"/>
      <c r="B93" s="7"/>
      <c r="C93" s="7"/>
      <c r="D93" s="8"/>
    </row>
    <row r="94" ht="14.25" customHeight="1">
      <c r="A94" s="1"/>
      <c r="B94" s="7"/>
      <c r="C94" s="7"/>
      <c r="D94" s="8"/>
    </row>
    <row r="95" ht="14.25" customHeight="1">
      <c r="A95" s="1"/>
      <c r="B95" s="7"/>
      <c r="C95" s="7"/>
      <c r="D95" s="8"/>
    </row>
    <row r="96" ht="14.25" customHeight="1">
      <c r="A96" s="1"/>
      <c r="B96" s="7"/>
      <c r="C96" s="7"/>
      <c r="D96" s="8"/>
    </row>
    <row r="97" ht="14.25" customHeight="1">
      <c r="A97" s="1"/>
      <c r="B97" s="7"/>
      <c r="C97" s="7"/>
      <c r="D97" s="8"/>
    </row>
    <row r="98" ht="14.25" customHeight="1">
      <c r="A98" s="1"/>
      <c r="B98" s="7"/>
      <c r="C98" s="7"/>
      <c r="D98" s="8"/>
    </row>
    <row r="99" ht="14.25" customHeight="1">
      <c r="A99" s="1"/>
      <c r="B99" s="7"/>
      <c r="C99" s="7"/>
      <c r="D99" s="8"/>
    </row>
    <row r="100" ht="14.25" customHeight="1">
      <c r="A100" s="1"/>
      <c r="B100" s="7"/>
      <c r="C100" s="7"/>
      <c r="D100" s="8"/>
    </row>
    <row r="101" ht="14.25" customHeight="1">
      <c r="A101" s="1"/>
      <c r="B101" s="7"/>
      <c r="C101" s="7"/>
      <c r="D101" s="8"/>
    </row>
    <row r="102" ht="14.25" customHeight="1">
      <c r="A102" s="1"/>
      <c r="B102" s="7"/>
      <c r="C102" s="7"/>
      <c r="D102" s="8"/>
    </row>
    <row r="103" ht="14.25" customHeight="1">
      <c r="A103" s="1"/>
      <c r="B103" s="7"/>
      <c r="C103" s="7"/>
      <c r="D103" s="8"/>
    </row>
    <row r="104" ht="14.25" customHeight="1">
      <c r="A104" s="1"/>
      <c r="B104" s="7"/>
      <c r="C104" s="7"/>
      <c r="D104" s="8"/>
    </row>
    <row r="105" ht="14.25" customHeight="1">
      <c r="A105" s="1"/>
      <c r="B105" s="7"/>
      <c r="C105" s="7"/>
      <c r="D105" s="8"/>
    </row>
    <row r="106" ht="14.25" customHeight="1">
      <c r="A106" s="1"/>
      <c r="B106" s="7"/>
      <c r="C106" s="7"/>
      <c r="D106" s="8"/>
    </row>
    <row r="107" ht="14.25" customHeight="1">
      <c r="A107" s="1"/>
      <c r="B107" s="7"/>
      <c r="C107" s="7"/>
      <c r="D107" s="8"/>
    </row>
    <row r="108" ht="14.25" customHeight="1">
      <c r="A108" s="1"/>
      <c r="B108" s="7"/>
      <c r="C108" s="7"/>
      <c r="D108" s="8"/>
    </row>
    <row r="109" ht="14.25" customHeight="1">
      <c r="A109" s="1"/>
      <c r="B109" s="7"/>
      <c r="C109" s="7"/>
      <c r="D109" s="8"/>
    </row>
    <row r="110" ht="14.25" customHeight="1">
      <c r="A110" s="1"/>
      <c r="B110" s="7"/>
      <c r="C110" s="7"/>
      <c r="D110" s="8"/>
    </row>
    <row r="111" ht="14.25" customHeight="1">
      <c r="A111" s="1"/>
      <c r="B111" s="7"/>
      <c r="C111" s="7"/>
      <c r="D111" s="8"/>
    </row>
    <row r="112" ht="14.25" customHeight="1">
      <c r="A112" s="1"/>
      <c r="B112" s="7"/>
      <c r="C112" s="7"/>
      <c r="D112" s="8"/>
    </row>
    <row r="113" ht="14.25" customHeight="1">
      <c r="A113" s="1"/>
      <c r="B113" s="7"/>
      <c r="C113" s="7"/>
      <c r="D113" s="8"/>
    </row>
    <row r="114" ht="14.25" customHeight="1">
      <c r="A114" s="1"/>
      <c r="B114" s="7"/>
      <c r="C114" s="7"/>
      <c r="D114" s="8"/>
    </row>
    <row r="115" ht="14.25" customHeight="1">
      <c r="A115" s="1"/>
      <c r="B115" s="7"/>
      <c r="C115" s="7"/>
      <c r="D115" s="8"/>
    </row>
    <row r="116" ht="14.25" customHeight="1">
      <c r="A116" s="1"/>
      <c r="B116" s="7"/>
      <c r="C116" s="7"/>
      <c r="D116" s="8"/>
    </row>
    <row r="117" ht="14.25" customHeight="1">
      <c r="A117" s="1"/>
      <c r="B117" s="7"/>
      <c r="C117" s="7"/>
      <c r="D117" s="8"/>
    </row>
    <row r="118" ht="14.25" customHeight="1">
      <c r="A118" s="1"/>
      <c r="B118" s="7"/>
      <c r="C118" s="7"/>
      <c r="D118" s="8"/>
    </row>
    <row r="119" ht="14.25" customHeight="1">
      <c r="A119" s="1"/>
      <c r="B119" s="7"/>
      <c r="C119" s="7"/>
      <c r="D119" s="8"/>
    </row>
    <row r="120" ht="14.25" customHeight="1">
      <c r="A120" s="1"/>
      <c r="B120" s="7"/>
      <c r="C120" s="7"/>
      <c r="D120" s="8"/>
    </row>
    <row r="121" ht="14.25" customHeight="1">
      <c r="A121" s="1"/>
      <c r="B121" s="7"/>
      <c r="C121" s="7"/>
      <c r="D121" s="8"/>
    </row>
    <row r="122" ht="14.25" customHeight="1">
      <c r="A122" s="1"/>
      <c r="B122" s="7"/>
      <c r="C122" s="7"/>
      <c r="D122" s="8"/>
    </row>
    <row r="123" ht="14.25" customHeight="1">
      <c r="A123" s="1"/>
      <c r="B123" s="7"/>
      <c r="C123" s="7"/>
      <c r="D123" s="8"/>
    </row>
    <row r="124" ht="14.25" customHeight="1">
      <c r="A124" s="1"/>
      <c r="B124" s="7"/>
      <c r="C124" s="7"/>
      <c r="D124" s="8"/>
    </row>
    <row r="125" ht="14.25" customHeight="1">
      <c r="A125" s="1"/>
      <c r="B125" s="7"/>
      <c r="C125" s="7"/>
      <c r="D125" s="8"/>
    </row>
    <row r="126" ht="14.25" customHeight="1">
      <c r="A126" s="1"/>
      <c r="B126" s="7"/>
      <c r="C126" s="7"/>
      <c r="D126" s="8"/>
    </row>
    <row r="127" ht="14.25" customHeight="1">
      <c r="A127" s="1"/>
      <c r="B127" s="7"/>
      <c r="C127" s="7"/>
      <c r="D127" s="8"/>
    </row>
    <row r="128" ht="14.25" customHeight="1">
      <c r="A128" s="1"/>
      <c r="B128" s="7"/>
      <c r="C128" s="7"/>
      <c r="D128" s="8"/>
    </row>
    <row r="129" ht="14.25" customHeight="1">
      <c r="A129" s="1"/>
      <c r="B129" s="7"/>
      <c r="C129" s="7"/>
      <c r="D129" s="8"/>
    </row>
    <row r="130" ht="14.25" customHeight="1">
      <c r="A130" s="1"/>
      <c r="B130" s="7"/>
      <c r="C130" s="7"/>
      <c r="D130" s="8"/>
    </row>
    <row r="131" ht="14.25" customHeight="1">
      <c r="A131" s="1"/>
      <c r="B131" s="7"/>
      <c r="C131" s="7"/>
      <c r="D131" s="8"/>
    </row>
    <row r="132" ht="14.25" customHeight="1">
      <c r="A132" s="1"/>
      <c r="B132" s="7"/>
      <c r="C132" s="7"/>
      <c r="D132" s="8"/>
    </row>
    <row r="133" ht="14.25" customHeight="1">
      <c r="A133" s="1"/>
      <c r="B133" s="7"/>
      <c r="C133" s="7"/>
      <c r="D133" s="8"/>
    </row>
    <row r="134" ht="14.25" customHeight="1">
      <c r="A134" s="1"/>
      <c r="B134" s="7"/>
      <c r="C134" s="7"/>
      <c r="D134" s="8"/>
    </row>
    <row r="135" ht="14.25" customHeight="1">
      <c r="A135" s="1"/>
      <c r="B135" s="7"/>
      <c r="C135" s="7"/>
      <c r="D135" s="8"/>
    </row>
    <row r="136" ht="14.25" customHeight="1">
      <c r="A136" s="1"/>
      <c r="B136" s="7"/>
      <c r="C136" s="7"/>
      <c r="D136" s="8"/>
    </row>
    <row r="137" ht="14.25" customHeight="1">
      <c r="A137" s="1"/>
      <c r="B137" s="7"/>
      <c r="C137" s="7"/>
      <c r="D137" s="8"/>
    </row>
    <row r="138" ht="14.25" customHeight="1">
      <c r="A138" s="1"/>
      <c r="B138" s="7"/>
      <c r="C138" s="7"/>
      <c r="D138" s="8"/>
    </row>
    <row r="139" ht="14.25" customHeight="1">
      <c r="A139" s="1"/>
      <c r="B139" s="7"/>
      <c r="C139" s="7"/>
      <c r="D139" s="8"/>
    </row>
    <row r="140" ht="14.25" customHeight="1">
      <c r="A140" s="1"/>
      <c r="B140" s="7"/>
      <c r="C140" s="7"/>
      <c r="D140" s="8"/>
    </row>
    <row r="141" ht="14.25" customHeight="1">
      <c r="A141" s="1"/>
      <c r="B141" s="7"/>
      <c r="C141" s="7"/>
      <c r="D141" s="8"/>
    </row>
    <row r="142" ht="14.25" customHeight="1">
      <c r="A142" s="1"/>
      <c r="B142" s="7"/>
      <c r="C142" s="7"/>
      <c r="D142" s="8"/>
    </row>
    <row r="143" ht="14.25" customHeight="1">
      <c r="A143" s="1"/>
      <c r="B143" s="7"/>
      <c r="C143" s="7"/>
      <c r="D143" s="8"/>
    </row>
    <row r="144" ht="14.25" customHeight="1">
      <c r="A144" s="1"/>
      <c r="B144" s="7"/>
      <c r="C144" s="7"/>
      <c r="D144" s="8"/>
    </row>
    <row r="145" ht="14.25" customHeight="1">
      <c r="A145" s="1"/>
      <c r="B145" s="7"/>
      <c r="C145" s="7"/>
      <c r="D145" s="8"/>
    </row>
    <row r="146" ht="14.25" customHeight="1">
      <c r="A146" s="1"/>
      <c r="B146" s="7"/>
      <c r="C146" s="7"/>
      <c r="D146" s="8"/>
    </row>
    <row r="147" ht="14.25" customHeight="1">
      <c r="A147" s="1"/>
      <c r="B147" s="7"/>
      <c r="C147" s="7"/>
      <c r="D147" s="8"/>
    </row>
    <row r="148" ht="14.25" customHeight="1">
      <c r="A148" s="1"/>
      <c r="B148" s="7"/>
      <c r="C148" s="7"/>
      <c r="D148" s="8"/>
    </row>
    <row r="149" ht="14.25" customHeight="1">
      <c r="A149" s="1"/>
      <c r="B149" s="7"/>
      <c r="C149" s="7"/>
      <c r="D149" s="8"/>
    </row>
    <row r="150" ht="14.25" customHeight="1">
      <c r="A150" s="1"/>
      <c r="B150" s="7"/>
      <c r="C150" s="7"/>
      <c r="D150" s="8"/>
    </row>
    <row r="151" ht="14.25" customHeight="1">
      <c r="A151" s="1"/>
      <c r="B151" s="7"/>
      <c r="C151" s="7"/>
      <c r="D151" s="8"/>
    </row>
    <row r="152" ht="14.25" customHeight="1">
      <c r="A152" s="1"/>
      <c r="B152" s="7"/>
      <c r="C152" s="7"/>
      <c r="D152" s="8"/>
    </row>
    <row r="153" ht="14.25" customHeight="1">
      <c r="A153" s="1"/>
      <c r="B153" s="7"/>
      <c r="C153" s="7"/>
      <c r="D153" s="8"/>
    </row>
    <row r="154" ht="14.25" customHeight="1">
      <c r="A154" s="1"/>
      <c r="B154" s="7"/>
      <c r="C154" s="7"/>
      <c r="D154" s="8"/>
    </row>
    <row r="155" ht="14.25" customHeight="1">
      <c r="A155" s="1"/>
      <c r="B155" s="7"/>
      <c r="C155" s="7"/>
      <c r="D155" s="8"/>
    </row>
    <row r="156" ht="14.25" customHeight="1">
      <c r="A156" s="1"/>
      <c r="B156" s="7"/>
      <c r="C156" s="7"/>
      <c r="D156" s="8"/>
    </row>
    <row r="157" ht="14.25" customHeight="1">
      <c r="A157" s="1"/>
      <c r="B157" s="7"/>
      <c r="C157" s="7"/>
      <c r="D157" s="8"/>
    </row>
    <row r="158" ht="14.25" customHeight="1">
      <c r="A158" s="1"/>
      <c r="B158" s="7"/>
      <c r="C158" s="7"/>
      <c r="D158" s="8"/>
    </row>
    <row r="159" ht="14.25" customHeight="1">
      <c r="A159" s="1"/>
      <c r="B159" s="7"/>
      <c r="C159" s="7"/>
      <c r="D159" s="8"/>
    </row>
    <row r="160" ht="14.25" customHeight="1">
      <c r="A160" s="1"/>
      <c r="B160" s="7"/>
      <c r="C160" s="7"/>
      <c r="D160" s="8"/>
    </row>
    <row r="161" ht="14.25" customHeight="1">
      <c r="A161" s="1"/>
      <c r="B161" s="7"/>
      <c r="C161" s="7"/>
      <c r="D161" s="8"/>
    </row>
    <row r="162" ht="14.25" customHeight="1">
      <c r="A162" s="1"/>
      <c r="B162" s="7"/>
      <c r="C162" s="7"/>
      <c r="D162" s="8"/>
    </row>
    <row r="163" ht="14.25" customHeight="1">
      <c r="A163" s="1"/>
      <c r="B163" s="7"/>
      <c r="C163" s="7"/>
      <c r="D163" s="8"/>
    </row>
    <row r="164" ht="14.25" customHeight="1">
      <c r="A164" s="1"/>
      <c r="B164" s="7"/>
      <c r="C164" s="7"/>
      <c r="D164" s="8"/>
    </row>
    <row r="165" ht="14.25" customHeight="1">
      <c r="A165" s="1"/>
      <c r="B165" s="7"/>
      <c r="C165" s="7"/>
      <c r="D165" s="8"/>
    </row>
    <row r="166" ht="14.25" customHeight="1">
      <c r="A166" s="1"/>
      <c r="B166" s="7"/>
      <c r="C166" s="7"/>
      <c r="D166" s="8"/>
    </row>
    <row r="167" ht="14.25" customHeight="1">
      <c r="A167" s="1"/>
      <c r="B167" s="7"/>
      <c r="C167" s="7"/>
      <c r="D167" s="8"/>
    </row>
    <row r="168" ht="14.25" customHeight="1">
      <c r="A168" s="1"/>
      <c r="B168" s="7"/>
      <c r="C168" s="7"/>
      <c r="D168" s="8"/>
    </row>
    <row r="169" ht="14.25" customHeight="1">
      <c r="A169" s="1"/>
      <c r="B169" s="7"/>
      <c r="C169" s="7"/>
      <c r="D169" s="8"/>
    </row>
    <row r="170" ht="14.25" customHeight="1">
      <c r="A170" s="1"/>
      <c r="B170" s="7"/>
      <c r="C170" s="7"/>
      <c r="D170" s="8"/>
    </row>
    <row r="171" ht="14.25" customHeight="1">
      <c r="A171" s="1"/>
      <c r="B171" s="7"/>
      <c r="C171" s="7"/>
      <c r="D171" s="8"/>
    </row>
    <row r="172" ht="14.25" customHeight="1">
      <c r="A172" s="1"/>
      <c r="B172" s="7"/>
      <c r="C172" s="7"/>
      <c r="D172" s="8"/>
    </row>
    <row r="173" ht="14.25" customHeight="1">
      <c r="A173" s="1"/>
      <c r="B173" s="7"/>
      <c r="C173" s="7"/>
      <c r="D173" s="8"/>
    </row>
    <row r="174" ht="14.25" customHeight="1">
      <c r="A174" s="1"/>
      <c r="B174" s="7"/>
      <c r="C174" s="7"/>
      <c r="D174" s="8"/>
    </row>
    <row r="175" ht="14.25" customHeight="1">
      <c r="A175" s="1"/>
      <c r="B175" s="7"/>
      <c r="C175" s="7"/>
      <c r="D175" s="8"/>
    </row>
    <row r="176" ht="14.25" customHeight="1">
      <c r="A176" s="1"/>
      <c r="B176" s="7"/>
      <c r="C176" s="7"/>
      <c r="D176" s="8"/>
    </row>
    <row r="177" ht="14.25" customHeight="1">
      <c r="A177" s="1"/>
      <c r="B177" s="7"/>
      <c r="C177" s="7"/>
      <c r="D177" s="8"/>
    </row>
    <row r="178" ht="14.25" customHeight="1">
      <c r="A178" s="1"/>
      <c r="B178" s="7"/>
      <c r="C178" s="7"/>
      <c r="D178" s="8"/>
    </row>
    <row r="179" ht="14.25" customHeight="1">
      <c r="A179" s="1"/>
      <c r="B179" s="7"/>
      <c r="C179" s="7"/>
      <c r="D179" s="8"/>
    </row>
    <row r="180" ht="14.25" customHeight="1">
      <c r="A180" s="1"/>
      <c r="B180" s="7"/>
      <c r="C180" s="7"/>
      <c r="D180" s="8"/>
    </row>
    <row r="181" ht="14.25" customHeight="1">
      <c r="A181" s="1"/>
      <c r="B181" s="7"/>
      <c r="C181" s="7"/>
      <c r="D181" s="8"/>
    </row>
    <row r="182" ht="14.25" customHeight="1">
      <c r="A182" s="1"/>
      <c r="B182" s="7"/>
      <c r="C182" s="7"/>
      <c r="D182" s="8"/>
    </row>
    <row r="183" ht="14.25" customHeight="1">
      <c r="A183" s="1"/>
      <c r="B183" s="7"/>
      <c r="C183" s="7"/>
      <c r="D183" s="8"/>
    </row>
    <row r="184" ht="14.25" customHeight="1">
      <c r="A184" s="1"/>
      <c r="B184" s="7"/>
      <c r="C184" s="7"/>
      <c r="D184" s="8"/>
    </row>
    <row r="185" ht="14.25" customHeight="1">
      <c r="A185" s="1"/>
      <c r="B185" s="7"/>
      <c r="C185" s="7"/>
      <c r="D185" s="8"/>
    </row>
    <row r="186" ht="14.25" customHeight="1">
      <c r="A186" s="1"/>
      <c r="B186" s="7"/>
      <c r="C186" s="7"/>
      <c r="D186" s="8"/>
    </row>
    <row r="187" ht="14.25" customHeight="1">
      <c r="A187" s="1"/>
      <c r="B187" s="7"/>
      <c r="C187" s="7"/>
      <c r="D187" s="8"/>
    </row>
    <row r="188" ht="14.25" customHeight="1">
      <c r="A188" s="1"/>
      <c r="B188" s="7"/>
      <c r="C188" s="7"/>
      <c r="D188" s="8"/>
    </row>
    <row r="189" ht="14.25" customHeight="1">
      <c r="A189" s="1"/>
      <c r="B189" s="7"/>
      <c r="C189" s="7"/>
      <c r="D189" s="8"/>
    </row>
    <row r="190" ht="14.25" customHeight="1">
      <c r="A190" s="1"/>
      <c r="B190" s="7"/>
      <c r="C190" s="7"/>
      <c r="D190" s="8"/>
    </row>
    <row r="191" ht="14.25" customHeight="1">
      <c r="A191" s="1"/>
      <c r="B191" s="7"/>
      <c r="C191" s="7"/>
      <c r="D191" s="8"/>
    </row>
    <row r="192" ht="14.25" customHeight="1">
      <c r="A192" s="1"/>
      <c r="B192" s="7"/>
      <c r="C192" s="7"/>
      <c r="D192" s="8"/>
    </row>
    <row r="193" ht="14.25" customHeight="1">
      <c r="A193" s="1"/>
      <c r="B193" s="7"/>
      <c r="C193" s="7"/>
      <c r="D193" s="8"/>
    </row>
    <row r="194" ht="14.25" customHeight="1">
      <c r="A194" s="1"/>
      <c r="B194" s="7"/>
      <c r="C194" s="7"/>
      <c r="D194" s="8"/>
    </row>
    <row r="195" ht="14.25" customHeight="1">
      <c r="A195" s="1"/>
      <c r="B195" s="7"/>
      <c r="C195" s="7"/>
      <c r="D195" s="8"/>
    </row>
    <row r="196" ht="14.25" customHeight="1">
      <c r="A196" s="1"/>
      <c r="B196" s="7"/>
      <c r="C196" s="7"/>
      <c r="D196" s="8"/>
    </row>
    <row r="197" ht="14.25" customHeight="1">
      <c r="A197" s="1"/>
      <c r="B197" s="7"/>
      <c r="C197" s="7"/>
      <c r="D197" s="8"/>
    </row>
    <row r="198" ht="14.25" customHeight="1">
      <c r="A198" s="1"/>
      <c r="B198" s="7"/>
      <c r="C198" s="7"/>
      <c r="D198" s="8"/>
    </row>
    <row r="199" ht="14.25" customHeight="1">
      <c r="A199" s="1"/>
      <c r="B199" s="7"/>
      <c r="C199" s="7"/>
      <c r="D199" s="8"/>
    </row>
    <row r="200" ht="14.25" customHeight="1">
      <c r="A200" s="1"/>
      <c r="B200" s="7"/>
      <c r="C200" s="7"/>
      <c r="D200" s="8"/>
    </row>
    <row r="201" ht="14.25" customHeight="1">
      <c r="A201" s="1"/>
      <c r="B201" s="7"/>
      <c r="C201" s="7"/>
      <c r="D201" s="8"/>
    </row>
    <row r="202" ht="14.25" customHeight="1">
      <c r="A202" s="1"/>
      <c r="B202" s="7"/>
      <c r="C202" s="7"/>
      <c r="D202" s="8"/>
    </row>
    <row r="203" ht="14.25" customHeight="1">
      <c r="A203" s="1"/>
      <c r="B203" s="7"/>
      <c r="C203" s="7"/>
      <c r="D203" s="8"/>
    </row>
    <row r="204" ht="14.25" customHeight="1">
      <c r="A204" s="1"/>
      <c r="B204" s="7"/>
      <c r="C204" s="7"/>
      <c r="D204" s="8"/>
    </row>
    <row r="205" ht="14.25" customHeight="1">
      <c r="A205" s="1"/>
      <c r="B205" s="7"/>
      <c r="C205" s="7"/>
      <c r="D205" s="8"/>
    </row>
    <row r="206" ht="14.25" customHeight="1">
      <c r="A206" s="1"/>
      <c r="B206" s="7"/>
      <c r="C206" s="7"/>
      <c r="D206" s="8"/>
    </row>
    <row r="207" ht="14.25" customHeight="1">
      <c r="A207" s="1"/>
      <c r="B207" s="7"/>
      <c r="C207" s="7"/>
      <c r="D207" s="8"/>
    </row>
    <row r="208" ht="14.25" customHeight="1">
      <c r="A208" s="1"/>
      <c r="B208" s="7"/>
      <c r="C208" s="7"/>
      <c r="D208" s="8"/>
    </row>
    <row r="209" ht="14.25" customHeight="1">
      <c r="A209" s="1"/>
      <c r="B209" s="7"/>
      <c r="C209" s="7"/>
      <c r="D209" s="8"/>
    </row>
    <row r="210" ht="14.25" customHeight="1">
      <c r="A210" s="1"/>
      <c r="B210" s="7"/>
      <c r="C210" s="7"/>
      <c r="D210" s="8"/>
    </row>
    <row r="211" ht="14.25" customHeight="1">
      <c r="A211" s="1"/>
      <c r="B211" s="7"/>
      <c r="C211" s="7"/>
      <c r="D211" s="8"/>
    </row>
    <row r="212" ht="14.25" customHeight="1">
      <c r="A212" s="1"/>
      <c r="B212" s="7"/>
      <c r="C212" s="7"/>
      <c r="D212" s="8"/>
    </row>
    <row r="213" ht="14.25" customHeight="1">
      <c r="A213" s="1"/>
      <c r="B213" s="7"/>
      <c r="C213" s="7"/>
      <c r="D213" s="8"/>
    </row>
    <row r="214" ht="14.25" customHeight="1">
      <c r="A214" s="1"/>
      <c r="B214" s="7"/>
      <c r="C214" s="7"/>
      <c r="D214" s="8"/>
    </row>
    <row r="215" ht="14.25" customHeight="1">
      <c r="A215" s="1"/>
      <c r="B215" s="7"/>
      <c r="C215" s="7"/>
      <c r="D215" s="8"/>
    </row>
    <row r="216" ht="14.25" customHeight="1">
      <c r="A216" s="1"/>
      <c r="B216" s="7"/>
      <c r="C216" s="7"/>
      <c r="D216" s="8"/>
    </row>
    <row r="217" ht="14.25" customHeight="1">
      <c r="A217" s="1"/>
      <c r="B217" s="7"/>
      <c r="C217" s="7"/>
      <c r="D217" s="8"/>
    </row>
    <row r="218" ht="14.25" customHeight="1">
      <c r="A218" s="1"/>
      <c r="B218" s="7"/>
      <c r="C218" s="7"/>
      <c r="D218" s="8"/>
    </row>
    <row r="219" ht="14.25" customHeight="1">
      <c r="A219" s="1"/>
      <c r="B219" s="7"/>
      <c r="C219" s="7"/>
      <c r="D219" s="8"/>
    </row>
    <row r="220" ht="14.25" customHeight="1">
      <c r="A220" s="1"/>
      <c r="B220" s="7"/>
      <c r="C220" s="7"/>
      <c r="D220" s="8"/>
    </row>
    <row r="221" ht="14.25" customHeight="1">
      <c r="A221" s="1"/>
      <c r="B221" s="7"/>
      <c r="C221" s="7"/>
      <c r="D221" s="8"/>
    </row>
    <row r="222" ht="14.25" customHeight="1">
      <c r="A222" s="1"/>
      <c r="B222" s="7"/>
      <c r="C222" s="7"/>
      <c r="D222" s="8"/>
    </row>
    <row r="223" ht="14.25" customHeight="1">
      <c r="A223" s="1"/>
      <c r="B223" s="7"/>
      <c r="C223" s="7"/>
      <c r="D223" s="8"/>
    </row>
    <row r="224" ht="14.25" customHeight="1">
      <c r="A224" s="1"/>
      <c r="B224" s="7"/>
      <c r="C224" s="7"/>
      <c r="D224" s="8"/>
    </row>
    <row r="225" ht="14.25" customHeight="1">
      <c r="A225" s="1"/>
      <c r="B225" s="7"/>
      <c r="C225" s="7"/>
      <c r="D225" s="8"/>
    </row>
    <row r="226" ht="14.25" customHeight="1">
      <c r="A226" s="1"/>
      <c r="B226" s="7"/>
      <c r="C226" s="7"/>
      <c r="D226" s="8"/>
    </row>
    <row r="227" ht="14.25" customHeight="1">
      <c r="A227" s="1"/>
      <c r="B227" s="7"/>
      <c r="C227" s="7"/>
      <c r="D227" s="8"/>
    </row>
    <row r="228" ht="14.25" customHeight="1">
      <c r="A228" s="1"/>
      <c r="B228" s="7"/>
      <c r="C228" s="7"/>
      <c r="D228" s="8"/>
    </row>
    <row r="229" ht="14.25" customHeight="1">
      <c r="A229" s="1"/>
      <c r="B229" s="7"/>
      <c r="C229" s="7"/>
      <c r="D229" s="8"/>
    </row>
    <row r="230" ht="14.25" customHeight="1">
      <c r="A230" s="1"/>
      <c r="B230" s="7"/>
      <c r="C230" s="7"/>
      <c r="D230" s="8"/>
    </row>
    <row r="231" ht="14.25" customHeight="1">
      <c r="A231" s="1"/>
      <c r="B231" s="7"/>
      <c r="C231" s="7"/>
      <c r="D231" s="8"/>
    </row>
    <row r="232" ht="14.25" customHeight="1">
      <c r="A232" s="1"/>
      <c r="B232" s="7"/>
      <c r="C232" s="7"/>
      <c r="D232" s="8"/>
    </row>
    <row r="233" ht="14.25" customHeight="1">
      <c r="A233" s="1"/>
      <c r="B233" s="7"/>
      <c r="C233" s="7"/>
      <c r="D233" s="8"/>
    </row>
    <row r="234" ht="14.25" customHeight="1">
      <c r="A234" s="1"/>
      <c r="B234" s="7"/>
      <c r="C234" s="7"/>
      <c r="D234" s="8"/>
    </row>
    <row r="235" ht="14.25" customHeight="1">
      <c r="A235" s="1"/>
      <c r="B235" s="7"/>
      <c r="C235" s="7"/>
      <c r="D235" s="8"/>
    </row>
    <row r="236" ht="14.25" customHeight="1">
      <c r="A236" s="1"/>
      <c r="B236" s="7"/>
      <c r="C236" s="7"/>
      <c r="D236" s="8"/>
    </row>
    <row r="237" ht="14.25" customHeight="1">
      <c r="A237" s="1"/>
      <c r="B237" s="7"/>
      <c r="C237" s="7"/>
      <c r="D237" s="8"/>
    </row>
    <row r="238" ht="14.25" customHeight="1">
      <c r="A238" s="1"/>
      <c r="B238" s="7"/>
      <c r="C238" s="7"/>
      <c r="D238" s="8"/>
    </row>
    <row r="239" ht="14.25" customHeight="1">
      <c r="A239" s="1"/>
      <c r="B239" s="7"/>
      <c r="C239" s="7"/>
      <c r="D239" s="8"/>
    </row>
    <row r="240" ht="14.25" customHeight="1">
      <c r="A240" s="1"/>
      <c r="B240" s="7"/>
      <c r="C240" s="7"/>
      <c r="D240" s="8"/>
    </row>
    <row r="241" ht="14.25" customHeight="1">
      <c r="A241" s="1"/>
      <c r="B241" s="7"/>
      <c r="C241" s="7"/>
      <c r="D241" s="8"/>
    </row>
    <row r="242" ht="14.25" customHeight="1">
      <c r="A242" s="1"/>
      <c r="B242" s="7"/>
      <c r="C242" s="7"/>
      <c r="D242" s="8"/>
    </row>
    <row r="243" ht="14.25" customHeight="1">
      <c r="A243" s="1"/>
      <c r="B243" s="7"/>
      <c r="C243" s="7"/>
      <c r="D243" s="8"/>
    </row>
    <row r="244" ht="14.25" customHeight="1">
      <c r="A244" s="1"/>
      <c r="B244" s="7"/>
      <c r="C244" s="7"/>
      <c r="D244" s="8"/>
    </row>
    <row r="245" ht="14.25" customHeight="1">
      <c r="A245" s="1"/>
      <c r="B245" s="7"/>
      <c r="C245" s="7"/>
      <c r="D245" s="8"/>
    </row>
    <row r="246" ht="14.25" customHeight="1">
      <c r="A246" s="1"/>
      <c r="B246" s="7"/>
      <c r="C246" s="7"/>
      <c r="D246" s="8"/>
    </row>
    <row r="247" ht="14.25" customHeight="1">
      <c r="A247" s="1"/>
      <c r="B247" s="7"/>
      <c r="C247" s="7"/>
      <c r="D247" s="8"/>
    </row>
    <row r="248" ht="14.25" customHeight="1">
      <c r="A248" s="1"/>
      <c r="B248" s="7"/>
      <c r="C248" s="7"/>
      <c r="D248" s="8"/>
    </row>
    <row r="249" ht="14.25" customHeight="1">
      <c r="A249" s="1"/>
      <c r="B249" s="7"/>
      <c r="C249" s="7"/>
      <c r="D249" s="8"/>
    </row>
    <row r="250" ht="14.25" customHeight="1">
      <c r="A250" s="1"/>
      <c r="B250" s="7"/>
      <c r="C250" s="7"/>
      <c r="D250" s="8"/>
    </row>
    <row r="251" ht="14.25" customHeight="1">
      <c r="A251" s="1"/>
      <c r="B251" s="7"/>
      <c r="C251" s="7"/>
      <c r="D251" s="8"/>
    </row>
    <row r="252" ht="14.25" customHeight="1">
      <c r="A252" s="1"/>
      <c r="B252" s="7"/>
      <c r="C252" s="7"/>
      <c r="D252" s="8"/>
    </row>
    <row r="253" ht="14.25" customHeight="1">
      <c r="A253" s="1"/>
      <c r="B253" s="7"/>
      <c r="C253" s="7"/>
      <c r="D253" s="8"/>
    </row>
    <row r="254" ht="14.25" customHeight="1">
      <c r="A254" s="1"/>
      <c r="B254" s="7"/>
      <c r="C254" s="7"/>
      <c r="D254" s="8"/>
    </row>
    <row r="255" ht="14.25" customHeight="1">
      <c r="A255" s="1"/>
      <c r="B255" s="7"/>
      <c r="C255" s="7"/>
      <c r="D255" s="8"/>
    </row>
    <row r="256" ht="14.25" customHeight="1">
      <c r="A256" s="1"/>
      <c r="B256" s="7"/>
      <c r="C256" s="7"/>
      <c r="D256" s="8"/>
    </row>
    <row r="257" ht="14.25" customHeight="1">
      <c r="A257" s="1"/>
      <c r="B257" s="7"/>
      <c r="C257" s="7"/>
      <c r="D257" s="8"/>
    </row>
    <row r="258" ht="14.25" customHeight="1">
      <c r="A258" s="1"/>
      <c r="B258" s="7"/>
      <c r="C258" s="7"/>
      <c r="D258" s="8"/>
    </row>
    <row r="259" ht="14.25" customHeight="1">
      <c r="A259" s="1"/>
      <c r="B259" s="7"/>
      <c r="C259" s="7"/>
      <c r="D259" s="8"/>
    </row>
    <row r="260" ht="14.25" customHeight="1">
      <c r="A260" s="1"/>
      <c r="B260" s="7"/>
      <c r="C260" s="7"/>
      <c r="D260" s="8"/>
    </row>
    <row r="261" ht="14.25" customHeight="1">
      <c r="A261" s="1"/>
      <c r="B261" s="7"/>
      <c r="C261" s="7"/>
      <c r="D261" s="8"/>
    </row>
    <row r="262" ht="14.25" customHeight="1">
      <c r="A262" s="1"/>
      <c r="B262" s="7"/>
      <c r="C262" s="7"/>
      <c r="D262" s="8"/>
    </row>
    <row r="263" ht="14.25" customHeight="1">
      <c r="A263" s="1"/>
      <c r="B263" s="7"/>
      <c r="C263" s="7"/>
      <c r="D263" s="8"/>
    </row>
    <row r="264" ht="14.25" customHeight="1">
      <c r="A264" s="1"/>
      <c r="B264" s="7"/>
      <c r="C264" s="7"/>
      <c r="D264" s="8"/>
    </row>
    <row r="265" ht="14.25" customHeight="1">
      <c r="A265" s="1"/>
      <c r="B265" s="7"/>
      <c r="C265" s="7"/>
      <c r="D265" s="8"/>
    </row>
    <row r="266" ht="14.25" customHeight="1">
      <c r="A266" s="1"/>
      <c r="B266" s="7"/>
      <c r="C266" s="7"/>
      <c r="D266" s="8"/>
    </row>
    <row r="267" ht="14.25" customHeight="1">
      <c r="A267" s="1"/>
      <c r="B267" s="7"/>
      <c r="C267" s="7"/>
      <c r="D267" s="8"/>
    </row>
    <row r="268" ht="14.25" customHeight="1">
      <c r="A268" s="1"/>
      <c r="B268" s="7"/>
      <c r="C268" s="7"/>
      <c r="D268" s="8"/>
    </row>
    <row r="269" ht="14.25" customHeight="1">
      <c r="A269" s="1"/>
      <c r="B269" s="7"/>
      <c r="C269" s="7"/>
      <c r="D269" s="8"/>
    </row>
    <row r="270" ht="14.25" customHeight="1">
      <c r="A270" s="1"/>
      <c r="B270" s="7"/>
      <c r="C270" s="7"/>
      <c r="D270" s="8"/>
    </row>
    <row r="271" ht="14.25" customHeight="1">
      <c r="A271" s="1"/>
      <c r="B271" s="7"/>
      <c r="C271" s="7"/>
      <c r="D271" s="8"/>
    </row>
    <row r="272" ht="14.25" customHeight="1">
      <c r="A272" s="1"/>
      <c r="B272" s="7"/>
      <c r="C272" s="7"/>
      <c r="D272" s="8"/>
    </row>
    <row r="273" ht="14.25" customHeight="1">
      <c r="A273" s="1"/>
      <c r="B273" s="7"/>
      <c r="C273" s="7"/>
      <c r="D273" s="8"/>
    </row>
    <row r="274" ht="14.25" customHeight="1">
      <c r="A274" s="1"/>
      <c r="B274" s="7"/>
      <c r="C274" s="7"/>
      <c r="D274" s="8"/>
    </row>
    <row r="275" ht="14.25" customHeight="1">
      <c r="A275" s="1"/>
      <c r="B275" s="7"/>
      <c r="C275" s="7"/>
      <c r="D275" s="8"/>
    </row>
    <row r="276" ht="14.25" customHeight="1">
      <c r="A276" s="1"/>
      <c r="B276" s="7"/>
      <c r="C276" s="7"/>
      <c r="D276" s="8"/>
    </row>
    <row r="277" ht="14.25" customHeight="1">
      <c r="A277" s="1"/>
      <c r="B277" s="7"/>
      <c r="C277" s="7"/>
      <c r="D277" s="8"/>
    </row>
    <row r="278" ht="14.25" customHeight="1">
      <c r="A278" s="1"/>
      <c r="B278" s="7"/>
      <c r="C278" s="7"/>
      <c r="D278" s="8"/>
    </row>
    <row r="279" ht="14.25" customHeight="1">
      <c r="A279" s="1"/>
      <c r="B279" s="7"/>
      <c r="C279" s="7"/>
      <c r="D279" s="8"/>
    </row>
    <row r="280" ht="14.25" customHeight="1">
      <c r="A280" s="1"/>
      <c r="B280" s="7"/>
      <c r="C280" s="7"/>
      <c r="D280" s="8"/>
    </row>
    <row r="281" ht="14.25" customHeight="1">
      <c r="A281" s="1"/>
      <c r="B281" s="7"/>
      <c r="C281" s="7"/>
      <c r="D281" s="8"/>
    </row>
    <row r="282" ht="14.25" customHeight="1">
      <c r="A282" s="1"/>
      <c r="B282" s="7"/>
      <c r="C282" s="7"/>
      <c r="D282" s="8"/>
    </row>
    <row r="283" ht="14.25" customHeight="1">
      <c r="A283" s="1"/>
      <c r="B283" s="7"/>
      <c r="C283" s="7"/>
      <c r="D283" s="8"/>
    </row>
    <row r="284" ht="14.25" customHeight="1">
      <c r="A284" s="1"/>
      <c r="B284" s="7"/>
      <c r="C284" s="7"/>
      <c r="D284" s="8"/>
    </row>
    <row r="285" ht="14.25" customHeight="1">
      <c r="A285" s="1"/>
      <c r="B285" s="7"/>
      <c r="C285" s="7"/>
      <c r="D285" s="8"/>
    </row>
    <row r="286" ht="14.25" customHeight="1">
      <c r="A286" s="1"/>
      <c r="B286" s="7"/>
      <c r="C286" s="7"/>
      <c r="D286" s="8"/>
    </row>
    <row r="287" ht="14.25" customHeight="1">
      <c r="A287" s="1"/>
      <c r="B287" s="7"/>
      <c r="C287" s="7"/>
      <c r="D287" s="8"/>
    </row>
    <row r="288" ht="14.25" customHeight="1">
      <c r="A288" s="1"/>
      <c r="B288" s="7"/>
      <c r="C288" s="7"/>
      <c r="D288" s="8"/>
    </row>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Y$88"/>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43.86"/>
    <col customWidth="1" min="3" max="3" width="270.0"/>
    <col customWidth="1" min="4" max="4" width="152.29"/>
    <col customWidth="1" min="7" max="7" width="28.43"/>
  </cols>
  <sheetData>
    <row r="1">
      <c r="B1" s="2" t="s">
        <v>0</v>
      </c>
      <c r="C1" s="2" t="s">
        <v>1</v>
      </c>
      <c r="D1" s="3" t="s">
        <v>2</v>
      </c>
      <c r="E1" s="4" t="s">
        <v>3</v>
      </c>
      <c r="F1" s="4" t="s">
        <v>4</v>
      </c>
      <c r="G1" s="5" t="s">
        <v>126</v>
      </c>
      <c r="H1" s="5" t="s">
        <v>127</v>
      </c>
    </row>
    <row r="2">
      <c r="A2" s="15">
        <f>IFERROR(__xludf.DUMMYFUNCTION("IFERROR(FILTER('Functional Requirements'!A:F, 'Functional Requirements'!F:F=1), ""No Sprint 1 items"")
"),1.0)</f>
        <v>1</v>
      </c>
      <c r="B2" s="15" t="str">
        <f>IFERROR(__xludf.DUMMYFUNCTION("""COMPUTED_VALUE"""),"Student/Staff/TA/Professor")</f>
        <v>Student/Staff/TA/Professor</v>
      </c>
      <c r="C2" s="15" t="str">
        <f>IFERROR(__xludf.DUMMYFUNCTION("""COMPUTED_VALUE"""),"sign up with my email, password, First name, Last name and student/staff id")</f>
        <v>sign up with my email, password, First name, Last name and student/staff id</v>
      </c>
      <c r="D2" s="15" t="str">
        <f>IFERROR(__xludf.DUMMYFUNCTION("""COMPUTED_VALUE"""),"Eveyone should use their GUC email while signing up 
Admins and Event offices donnot sign up")</f>
        <v>Eveyone should use their GUC email while signing up 
Admins and Event offices donnot sign up</v>
      </c>
      <c r="E2" s="15">
        <f>IFERROR(__xludf.DUMMYFUNCTION("""COMPUTED_VALUE"""),2.5)</f>
        <v>2.5</v>
      </c>
      <c r="F2" s="15">
        <f>IFERROR(__xludf.DUMMYFUNCTION("""COMPUTED_VALUE"""),1.0)</f>
        <v>1</v>
      </c>
      <c r="G2" s="5" t="s">
        <v>128</v>
      </c>
    </row>
    <row r="3">
      <c r="A3" s="15">
        <f>IFERROR(__xludf.DUMMYFUNCTION("""COMPUTED_VALUE"""),2.0)</f>
        <v>2</v>
      </c>
      <c r="B3" s="15" t="str">
        <f>IFERROR(__xludf.DUMMYFUNCTION("""COMPUTED_VALUE"""),"Vendor")</f>
        <v>Vendor</v>
      </c>
      <c r="C3" s="15" t="str">
        <f>IFERROR(__xludf.DUMMYFUNCTION("""COMPUTED_VALUE"""),"sign up with an email, password, company name")</f>
        <v>sign up with an email, password, company name</v>
      </c>
      <c r="D3" s="15"/>
      <c r="E3" s="15">
        <f>IFERROR(__xludf.DUMMYFUNCTION("""COMPUTED_VALUE"""),2.0)</f>
        <v>2</v>
      </c>
      <c r="F3" s="15">
        <f>IFERROR(__xludf.DUMMYFUNCTION("""COMPUTED_VALUE"""),1.0)</f>
        <v>1</v>
      </c>
      <c r="G3" s="5" t="s">
        <v>129</v>
      </c>
    </row>
    <row r="4">
      <c r="A4" s="15">
        <f>IFERROR(__xludf.DUMMYFUNCTION("""COMPUTED_VALUE"""),5.0)</f>
        <v>5</v>
      </c>
      <c r="B4" s="15" t="str">
        <f>IFERROR(__xludf.DUMMYFUNCTION("""COMPUTED_VALUE"""),"Admin")</f>
        <v>Admin</v>
      </c>
      <c r="C4" s="15" t="str">
        <f>IFERROR(__xludf.DUMMYFUNCTION("""COMPUTED_VALUE"""),"insert the correct role for each of Staff/ TA/ Professor after receiving their request to register and then sends a verification mail")</f>
        <v>insert the correct role for each of Staff/ TA/ Professor after receiving their request to register and then sends a verification mail</v>
      </c>
      <c r="D4" s="15"/>
      <c r="E4" s="15">
        <f>IFERROR(__xludf.DUMMYFUNCTION("""COMPUTED_VALUE"""),2.0)</f>
        <v>2</v>
      </c>
      <c r="F4" s="15">
        <f>IFERROR(__xludf.DUMMYFUNCTION("""COMPUTED_VALUE"""),1.0)</f>
        <v>1</v>
      </c>
      <c r="G4" s="5" t="s">
        <v>130</v>
      </c>
    </row>
    <row r="5">
      <c r="A5" s="15">
        <f>IFERROR(__xludf.DUMMYFUNCTION("""COMPUTED_VALUE"""),6.0)</f>
        <v>6</v>
      </c>
      <c r="B5" s="15" t="str">
        <f>IFERROR(__xludf.DUMMYFUNCTION("""COMPUTED_VALUE"""),"Staff/ TA/ Professor")</f>
        <v>Staff/ TA/ Professor</v>
      </c>
      <c r="C5" s="15" t="str">
        <f>IFERROR(__xludf.DUMMYFUNCTION("""COMPUTED_VALUE"""),"receive a verification email after the admin verifies their role")</f>
        <v>receive a verification email after the admin verifies their role</v>
      </c>
      <c r="D5" s="15" t="str">
        <f>IFERROR(__xludf.DUMMYFUNCTION("""COMPUTED_VALUE"""),"The verification mail should contain a verification link that automatically redirects me to the login page
If I did not click on the link I shouldn't be verified, hence the login should fail")</f>
        <v>The verification mail should contain a verification link that automatically redirects me to the login page
If I did not click on the link I shouldn't be verified, hence the login should fail</v>
      </c>
      <c r="E5" s="15">
        <f>IFERROR(__xludf.DUMMYFUNCTION("""COMPUTED_VALUE"""),3.0)</f>
        <v>3</v>
      </c>
      <c r="F5" s="15">
        <f>IFERROR(__xludf.DUMMYFUNCTION("""COMPUTED_VALUE"""),1.0)</f>
        <v>1</v>
      </c>
      <c r="G5" s="5" t="s">
        <v>130</v>
      </c>
    </row>
    <row r="6">
      <c r="A6" s="15">
        <f>IFERROR(__xludf.DUMMYFUNCTION("""COMPUTED_VALUE"""),7.0)</f>
        <v>7</v>
      </c>
      <c r="B6" s="15" t="str">
        <f>IFERROR(__xludf.DUMMYFUNCTION("""COMPUTED_VALUE"""),"Admin")</f>
        <v>Admin</v>
      </c>
      <c r="C6" s="15" t="str">
        <f>IFERROR(__xludf.DUMMYFUNCTION("""COMPUTED_VALUE"""),"create other admin/Event Office accounts including the admin name, email and password")</f>
        <v>create other admin/Event Office accounts including the admin name, email and password</v>
      </c>
      <c r="D6" s="15"/>
      <c r="E6" s="15">
        <f>IFERROR(__xludf.DUMMYFUNCTION("""COMPUTED_VALUE"""),2.0)</f>
        <v>2</v>
      </c>
      <c r="F6" s="15">
        <f>IFERROR(__xludf.DUMMYFUNCTION("""COMPUTED_VALUE"""),1.0)</f>
        <v>1</v>
      </c>
      <c r="G6" s="5" t="s">
        <v>131</v>
      </c>
    </row>
    <row r="7">
      <c r="A7" s="15">
        <f>IFERROR(__xludf.DUMMYFUNCTION("""COMPUTED_VALUE"""),8.0)</f>
        <v>8</v>
      </c>
      <c r="B7" s="15" t="str">
        <f>IFERROR(__xludf.DUMMYFUNCTION("""COMPUTED_VALUE"""),"Admin")</f>
        <v>Admin</v>
      </c>
      <c r="C7" s="15" t="str">
        <f>IFERROR(__xludf.DUMMYFUNCTION("""COMPUTED_VALUE"""),"delete other admin/Event Office accounts")</f>
        <v>delete other admin/Event Office accounts</v>
      </c>
      <c r="D7" s="15"/>
      <c r="E7" s="15">
        <f>IFERROR(__xludf.DUMMYFUNCTION("""COMPUTED_VALUE"""),2.0)</f>
        <v>2</v>
      </c>
      <c r="F7" s="15">
        <f>IFERROR(__xludf.DUMMYFUNCTION("""COMPUTED_VALUE"""),1.0)</f>
        <v>1</v>
      </c>
      <c r="G7" s="5" t="s">
        <v>131</v>
      </c>
    </row>
    <row r="8">
      <c r="A8" s="15">
        <f>IFERROR(__xludf.DUMMYFUNCTION("""COMPUTED_VALUE"""),9.0)</f>
        <v>9</v>
      </c>
      <c r="B8" s="15" t="str">
        <f>IFERROR(__xludf.DUMMYFUNCTION("""COMPUTED_VALUE"""),"Student/Staff/ Events Office/TA/ Professor/ Admin")</f>
        <v>Student/Staff/ Events Office/TA/ Professor/ Admin</v>
      </c>
      <c r="C8" s="15" t="str">
        <f>IFERROR(__xludf.DUMMYFUNCTION("""COMPUTED_VALUE"""),"login with my email and password")</f>
        <v>login with my email and password</v>
      </c>
      <c r="D8" s="15" t="str">
        <f>IFERROR(__xludf.DUMMYFUNCTION("""COMPUTED_VALUE"""),"Eveyone should use their GUC email except Companies and Vendors")</f>
        <v>Eveyone should use their GUC email except Companies and Vendors</v>
      </c>
      <c r="E8" s="15">
        <f>IFERROR(__xludf.DUMMYFUNCTION("""COMPUTED_VALUE"""),3.0)</f>
        <v>3</v>
      </c>
      <c r="F8" s="15">
        <f>IFERROR(__xludf.DUMMYFUNCTION("""COMPUTED_VALUE"""),1.0)</f>
        <v>1</v>
      </c>
      <c r="G8" s="5" t="s">
        <v>132</v>
      </c>
    </row>
    <row r="9">
      <c r="A9" s="15">
        <f>IFERROR(__xludf.DUMMYFUNCTION("""COMPUTED_VALUE"""),10.0)</f>
        <v>10</v>
      </c>
      <c r="B9" s="15" t="str">
        <f>IFERROR(__xludf.DUMMYFUNCTION("""COMPUTED_VALUE"""),"Student/Staff/ Events Office/TA/ Professor/ Admin")</f>
        <v>Student/Staff/ Events Office/TA/ Professor/ Admin</v>
      </c>
      <c r="C9" s="15" t="str">
        <f>IFERROR(__xludf.DUMMYFUNCTION("""COMPUTED_VALUE"""),"logout from my account successfully")</f>
        <v>logout from my account successfully</v>
      </c>
      <c r="D9" s="15"/>
      <c r="E9" s="15">
        <f>IFERROR(__xludf.DUMMYFUNCTION("""COMPUTED_VALUE"""),3.0)</f>
        <v>3</v>
      </c>
      <c r="F9" s="15">
        <f>IFERROR(__xludf.DUMMYFUNCTION("""COMPUTED_VALUE"""),1.0)</f>
        <v>1</v>
      </c>
      <c r="G9" s="5" t="s">
        <v>132</v>
      </c>
    </row>
    <row r="10">
      <c r="A10" s="15">
        <f>IFERROR(__xludf.DUMMYFUNCTION("""COMPUTED_VALUE"""),11.0)</f>
        <v>11</v>
      </c>
      <c r="B10" s="15" t="str">
        <f>IFERROR(__xludf.DUMMYFUNCTION("""COMPUTED_VALUE"""),"Student/Staff/ Events Office/TA/ Professor/ Admin")</f>
        <v>Student/Staff/ Events Office/TA/ Professor/ Admin</v>
      </c>
      <c r="C10" s="15" t="str">
        <f>IFERROR(__xludf.DUMMYFUNCTION("""COMPUTED_VALUE"""),"view all availabe events that are coming up and all their details including the vendors that will participate (for bazaars and booths)")</f>
        <v>view all availabe events that are coming up and all their details including the vendors that will participate (for bazaars and booths)</v>
      </c>
      <c r="D10" s="15" t="str">
        <f>IFERROR(__xludf.DUMMYFUNCTION("""COMPUTED_VALUE"""),"Events are workshops, trips, bazaars, booths in platform, conferences")</f>
        <v>Events are workshops, trips, bazaars, booths in platform, conferences</v>
      </c>
      <c r="E10" s="15">
        <f>IFERROR(__xludf.DUMMYFUNCTION("""COMPUTED_VALUE"""),3.0)</f>
        <v>3</v>
      </c>
      <c r="F10" s="15">
        <f>IFERROR(__xludf.DUMMYFUNCTION("""COMPUTED_VALUE"""),1.0)</f>
        <v>1</v>
      </c>
      <c r="G10" s="5" t="s">
        <v>132</v>
      </c>
    </row>
    <row r="11">
      <c r="A11" s="15">
        <f>IFERROR(__xludf.DUMMYFUNCTION("""COMPUTED_VALUE"""),12.0)</f>
        <v>12</v>
      </c>
      <c r="B11" s="15" t="str">
        <f>IFERROR(__xludf.DUMMYFUNCTION("""COMPUTED_VALUE"""),"Student/Staff/ Events Office/TA/ Professor/ Admin")</f>
        <v>Student/Staff/ Events Office/TA/ Professor/ Admin</v>
      </c>
      <c r="C11" s="15" t="str">
        <f>IFERROR(__xludf.DUMMYFUNCTION("""COMPUTED_VALUE"""),"search the events by a specific name(Professor name/Event name) or type")</f>
        <v>search the events by a specific name(Professor name/Event name) or type</v>
      </c>
      <c r="D11" s="15"/>
      <c r="E11" s="15">
        <f>IFERROR(__xludf.DUMMYFUNCTION("""COMPUTED_VALUE"""),3.0)</f>
        <v>3</v>
      </c>
      <c r="F11" s="15">
        <f>IFERROR(__xludf.DUMMYFUNCTION("""COMPUTED_VALUE"""),1.0)</f>
        <v>1</v>
      </c>
      <c r="G11" s="5" t="s">
        <v>132</v>
      </c>
    </row>
    <row r="12">
      <c r="A12" s="15">
        <f>IFERROR(__xludf.DUMMYFUNCTION("""COMPUTED_VALUE"""),20.0)</f>
        <v>20</v>
      </c>
      <c r="B12" s="15" t="str">
        <f>IFERROR(__xludf.DUMMYFUNCTION("""COMPUTED_VALUE"""),"Admin")</f>
        <v>Admin</v>
      </c>
      <c r="C12" s="15" t="str">
        <f>IFERROR(__xludf.DUMMYFUNCTION("""COMPUTED_VALUE"""),"view a list of all users along with their details and status (active/blocked)")</f>
        <v>view a list of all users along with their details and status (active/blocked)</v>
      </c>
      <c r="D12" s="15"/>
      <c r="E12" s="15">
        <f>IFERROR(__xludf.DUMMYFUNCTION("""COMPUTED_VALUE"""),4.0)</f>
        <v>4</v>
      </c>
      <c r="F12" s="15">
        <f>IFERROR(__xludf.DUMMYFUNCTION("""COMPUTED_VALUE"""),1.0)</f>
        <v>1</v>
      </c>
      <c r="G12" s="5" t="s">
        <v>130</v>
      </c>
    </row>
    <row r="13">
      <c r="A13" s="15">
        <f>IFERROR(__xludf.DUMMYFUNCTION("""COMPUTED_VALUE"""),24.0)</f>
        <v>24</v>
      </c>
      <c r="B13" s="15" t="str">
        <f>IFERROR(__xludf.DUMMYFUNCTION("""COMPUTED_VALUE"""),"Student/Staff/TA/Professor")</f>
        <v>Student/Staff/TA/Professor</v>
      </c>
      <c r="C13" s="15" t="str">
        <f>IFERROR(__xludf.DUMMYFUNCTION("""COMPUTED_VALUE"""),"register for a workshop/trip using name, mail, student/staff id")</f>
        <v>register for a workshop/trip using name, mail, student/staff id</v>
      </c>
      <c r="D13" s="15"/>
      <c r="E13" s="15">
        <f>IFERROR(__xludf.DUMMYFUNCTION("""COMPUTED_VALUE"""),4.0)</f>
        <v>4</v>
      </c>
      <c r="F13" s="15">
        <f>IFERROR(__xludf.DUMMYFUNCTION("""COMPUTED_VALUE"""),1.0)</f>
        <v>1</v>
      </c>
      <c r="G13" s="5" t="s">
        <v>132</v>
      </c>
    </row>
    <row r="14">
      <c r="A14" s="15">
        <f>IFERROR(__xludf.DUMMYFUNCTION("""COMPUTED_VALUE"""),27.0)</f>
        <v>27</v>
      </c>
      <c r="B14" s="15" t="str">
        <f>IFERROR(__xludf.DUMMYFUNCTION("""COMPUTED_VALUE"""),"Student/Staff/TA/Professor")</f>
        <v>Student/Staff/TA/Professor</v>
      </c>
      <c r="C14" s="15" t="str">
        <f>IFERROR(__xludf.DUMMYFUNCTION("""COMPUTED_VALUE"""),"view a list of my registered events")</f>
        <v>view a list of my registered events</v>
      </c>
      <c r="D14" s="15" t="str">
        <f>IFERROR(__xludf.DUMMYFUNCTION("""COMPUTED_VALUE"""),"Upcoming and past events")</f>
        <v>Upcoming and past events</v>
      </c>
      <c r="E14" s="15">
        <f>IFERROR(__xludf.DUMMYFUNCTION("""COMPUTED_VALUE"""),4.0)</f>
        <v>4</v>
      </c>
      <c r="F14" s="15">
        <f>IFERROR(__xludf.DUMMYFUNCTION("""COMPUTED_VALUE"""),1.0)</f>
        <v>1</v>
      </c>
      <c r="G14" s="5" t="s">
        <v>132</v>
      </c>
    </row>
    <row r="15">
      <c r="A15" s="15">
        <f>IFERROR(__xludf.DUMMYFUNCTION("""COMPUTED_VALUE"""),31.0)</f>
        <v>31</v>
      </c>
      <c r="B15" s="15" t="str">
        <f>IFERROR(__xludf.DUMMYFUNCTION("""COMPUTED_VALUE"""),"Events Office")</f>
        <v>Events Office</v>
      </c>
      <c r="C15" s="15" t="str">
        <f>IFERROR(__xludf.DUMMYFUNCTION("""COMPUTED_VALUE"""),"create bazaars by adding the bazaar name, start and end date and time, location, short description and registration deadline")</f>
        <v>create bazaars by adding the bazaar name, start and end date and time, location, short description and registration deadline</v>
      </c>
      <c r="D15" s="15"/>
      <c r="E15" s="15">
        <f>IFERROR(__xludf.DUMMYFUNCTION("""COMPUTED_VALUE"""),2.0)</f>
        <v>2</v>
      </c>
      <c r="F15" s="15">
        <f>IFERROR(__xludf.DUMMYFUNCTION("""COMPUTED_VALUE"""),1.0)</f>
        <v>1</v>
      </c>
      <c r="G15" s="5" t="s">
        <v>133</v>
      </c>
    </row>
    <row r="16">
      <c r="A16" s="15">
        <f>IFERROR(__xludf.DUMMYFUNCTION("""COMPUTED_VALUE"""),32.0)</f>
        <v>32</v>
      </c>
      <c r="B16" s="15" t="str">
        <f>IFERROR(__xludf.DUMMYFUNCTION("""COMPUTED_VALUE"""),"Events Office")</f>
        <v>Events Office</v>
      </c>
      <c r="C16" s="15" t="str">
        <f>IFERROR(__xludf.DUMMYFUNCTION("""COMPUTED_VALUE"""),"edit any of the bazaar details entered")</f>
        <v>edit any of the bazaar details entered</v>
      </c>
      <c r="D16" s="15" t="str">
        <f>IFERROR(__xludf.DUMMYFUNCTION("""COMPUTED_VALUE"""),"Only if the bazar hasn't started yet")</f>
        <v>Only if the bazar hasn't started yet</v>
      </c>
      <c r="E16" s="15">
        <f>IFERROR(__xludf.DUMMYFUNCTION("""COMPUTED_VALUE"""),2.0)</f>
        <v>2</v>
      </c>
      <c r="F16" s="15">
        <f>IFERROR(__xludf.DUMMYFUNCTION("""COMPUTED_VALUE"""),1.0)</f>
        <v>1</v>
      </c>
      <c r="G16" s="5" t="s">
        <v>133</v>
      </c>
    </row>
    <row r="17">
      <c r="A17" s="15">
        <f>IFERROR(__xludf.DUMMYFUNCTION("""COMPUTED_VALUE"""),33.0)</f>
        <v>33</v>
      </c>
      <c r="B17" s="15" t="str">
        <f>IFERROR(__xludf.DUMMYFUNCTION("""COMPUTED_VALUE"""),"Events Office")</f>
        <v>Events Office</v>
      </c>
      <c r="C17" s="15" t="str">
        <f>IFERROR(__xludf.DUMMYFUNCTION("""COMPUTED_VALUE"""),"create trips by adding the trip name, location, price, start and end date and time, short description, capacity, registeration deadline")</f>
        <v>create trips by adding the trip name, location, price, start and end date and time, short description, capacity, registeration deadline</v>
      </c>
      <c r="D17" s="15"/>
      <c r="E17" s="15">
        <f>IFERROR(__xludf.DUMMYFUNCTION("""COMPUTED_VALUE"""),2.0)</f>
        <v>2</v>
      </c>
      <c r="F17" s="15">
        <f>IFERROR(__xludf.DUMMYFUNCTION("""COMPUTED_VALUE"""),1.0)</f>
        <v>1</v>
      </c>
      <c r="G17" s="5" t="s">
        <v>133</v>
      </c>
    </row>
    <row r="18">
      <c r="A18" s="15">
        <f>IFERROR(__xludf.DUMMYFUNCTION("""COMPUTED_VALUE"""),34.0)</f>
        <v>34</v>
      </c>
      <c r="B18" s="15" t="str">
        <f>IFERROR(__xludf.DUMMYFUNCTION("""COMPUTED_VALUE"""),"Events Office")</f>
        <v>Events Office</v>
      </c>
      <c r="C18" s="15" t="str">
        <f>IFERROR(__xludf.DUMMYFUNCTION("""COMPUTED_VALUE"""),"edit any of the trip details")</f>
        <v>edit any of the trip details</v>
      </c>
      <c r="D18" s="15" t="str">
        <f>IFERROR(__xludf.DUMMYFUNCTION("""COMPUTED_VALUE"""),"Only if trip start date hasn't passed yet")</f>
        <v>Only if trip start date hasn't passed yet</v>
      </c>
      <c r="E18" s="15">
        <f>IFERROR(__xludf.DUMMYFUNCTION("""COMPUTED_VALUE"""),2.0)</f>
        <v>2</v>
      </c>
      <c r="F18" s="15">
        <f>IFERROR(__xludf.DUMMYFUNCTION("""COMPUTED_VALUE"""),1.0)</f>
        <v>1</v>
      </c>
      <c r="G18" s="5" t="s">
        <v>133</v>
      </c>
    </row>
    <row r="19">
      <c r="A19" s="15">
        <f>IFERROR(__xludf.DUMMYFUNCTION("""COMPUTED_VALUE"""),35.0)</f>
        <v>35</v>
      </c>
      <c r="B19" s="15" t="str">
        <f>IFERROR(__xludf.DUMMYFUNCTION("""COMPUTED_VALUE""")," Professor")</f>
        <v> Professor</v>
      </c>
      <c r="C19" s="15" t="str">
        <f>IFERROR(__xludf.DUMMYFUNCTION("""COMPUTED_VALUE"""),"create workshops by adding the workshop name, location (GUC Cairo or GUC Berlin), start and end dates and times, short description, full agenda, faculty responsible (MET, IET, etc..), professor(s) participating, required budget, funding source (external o"&amp;"r GUC), extra required resources, capacity, registeration deadline")</f>
        <v>create workshops by adding the workshop name, location (GUC Cairo or GUC Berlin), start and end dates and times, short description, full agenda, faculty responsible (MET, IET, etc..), professor(s) participating, required budget, funding source (external or GUC), extra required resources, capacity, registeration deadline</v>
      </c>
      <c r="D19" s="15"/>
      <c r="E19" s="15">
        <f>IFERROR(__xludf.DUMMYFUNCTION("""COMPUTED_VALUE"""),2.0)</f>
        <v>2</v>
      </c>
      <c r="F19" s="15">
        <f>IFERROR(__xludf.DUMMYFUNCTION("""COMPUTED_VALUE"""),1.0)</f>
        <v>1</v>
      </c>
      <c r="G19" s="5" t="s">
        <v>130</v>
      </c>
    </row>
    <row r="20">
      <c r="A20" s="15">
        <f>IFERROR(__xludf.DUMMYFUNCTION("""COMPUTED_VALUE"""),36.0)</f>
        <v>36</v>
      </c>
      <c r="B20" s="15" t="str">
        <f>IFERROR(__xludf.DUMMYFUNCTION("""COMPUTED_VALUE"""),"Professor")</f>
        <v>Professor</v>
      </c>
      <c r="C20" s="15" t="str">
        <f>IFERROR(__xludf.DUMMYFUNCTION("""COMPUTED_VALUE"""),"edit any of the workshop details entered")</f>
        <v>edit any of the workshop details entered</v>
      </c>
      <c r="D20" s="15"/>
      <c r="E20" s="15">
        <f>IFERROR(__xludf.DUMMYFUNCTION("""COMPUTED_VALUE"""),2.0)</f>
        <v>2</v>
      </c>
      <c r="F20" s="15">
        <f>IFERROR(__xludf.DUMMYFUNCTION("""COMPUTED_VALUE"""),1.0)</f>
        <v>1</v>
      </c>
      <c r="G20" s="5" t="s">
        <v>130</v>
      </c>
    </row>
    <row r="21">
      <c r="A21" s="15">
        <f>IFERROR(__xludf.DUMMYFUNCTION("""COMPUTED_VALUE"""),37.0)</f>
        <v>37</v>
      </c>
      <c r="B21" s="15" t="str">
        <f>IFERROR(__xludf.DUMMYFUNCTION("""COMPUTED_VALUE"""),"Professor")</f>
        <v>Professor</v>
      </c>
      <c r="C21" s="15" t="str">
        <f>IFERROR(__xludf.DUMMYFUNCTION("""COMPUTED_VALUE"""),"view a list of all workshops that i created ")</f>
        <v>view a list of all workshops that i created </v>
      </c>
      <c r="D21" s="15"/>
      <c r="E21" s="15">
        <f>IFERROR(__xludf.DUMMYFUNCTION("""COMPUTED_VALUE"""),2.0)</f>
        <v>2</v>
      </c>
      <c r="F21" s="15">
        <f>IFERROR(__xludf.DUMMYFUNCTION("""COMPUTED_VALUE"""),1.0)</f>
        <v>1</v>
      </c>
      <c r="G21" s="5" t="s">
        <v>130</v>
      </c>
    </row>
    <row r="22">
      <c r="A22" s="15">
        <f>IFERROR(__xludf.DUMMYFUNCTION("""COMPUTED_VALUE"""),40.0)</f>
        <v>40</v>
      </c>
      <c r="B22" s="15" t="str">
        <f>IFERROR(__xludf.DUMMYFUNCTION("""COMPUTED_VALUE"""),"Events Office")</f>
        <v>Events Office</v>
      </c>
      <c r="C22" s="15" t="str">
        <f>IFERROR(__xludf.DUMMYFUNCTION("""COMPUTED_VALUE"""),"accept and publish workshop created by a professor ")</f>
        <v>accept and publish workshop created by a professor </v>
      </c>
      <c r="D22" s="15"/>
      <c r="E22" s="15">
        <f>IFERROR(__xludf.DUMMYFUNCTION("""COMPUTED_VALUE"""),2.0)</f>
        <v>2</v>
      </c>
      <c r="F22" s="15">
        <f>IFERROR(__xludf.DUMMYFUNCTION("""COMPUTED_VALUE"""),1.0)</f>
        <v>1</v>
      </c>
      <c r="G22" s="5" t="s">
        <v>129</v>
      </c>
    </row>
    <row r="23">
      <c r="A23" s="15">
        <f>IFERROR(__xludf.DUMMYFUNCTION("""COMPUTED_VALUE"""),41.0)</f>
        <v>41</v>
      </c>
      <c r="B23" s="15" t="str">
        <f>IFERROR(__xludf.DUMMYFUNCTION("""COMPUTED_VALUE"""),"Events Office")</f>
        <v>Events Office</v>
      </c>
      <c r="C23" s="15" t="str">
        <f>IFERROR(__xludf.DUMMYFUNCTION("""COMPUTED_VALUE"""),"reject workshop ")</f>
        <v>reject workshop </v>
      </c>
      <c r="D23" s="15"/>
      <c r="E23" s="15">
        <f>IFERROR(__xludf.DUMMYFUNCTION("""COMPUTED_VALUE"""),2.0)</f>
        <v>2</v>
      </c>
      <c r="F23" s="15">
        <f>IFERROR(__xludf.DUMMYFUNCTION("""COMPUTED_VALUE"""),1.0)</f>
        <v>1</v>
      </c>
      <c r="G23" s="5" t="s">
        <v>129</v>
      </c>
    </row>
    <row r="24">
      <c r="A24" s="15">
        <f>IFERROR(__xludf.DUMMYFUNCTION("""COMPUTED_VALUE"""),42.0)</f>
        <v>42</v>
      </c>
      <c r="B24" s="15" t="str">
        <f>IFERROR(__xludf.DUMMYFUNCTION("""COMPUTED_VALUE"""),"Events Office")</f>
        <v>Events Office</v>
      </c>
      <c r="C24" s="15" t="str">
        <f>IFERROR(__xludf.DUMMYFUNCTION("""COMPUTED_VALUE"""),"request edits in workshop details")</f>
        <v>request edits in workshop details</v>
      </c>
      <c r="D24" s="15"/>
      <c r="E24" s="15">
        <f>IFERROR(__xludf.DUMMYFUNCTION("""COMPUTED_VALUE"""),2.0)</f>
        <v>2</v>
      </c>
      <c r="F24" s="15">
        <f>IFERROR(__xludf.DUMMYFUNCTION("""COMPUTED_VALUE"""),1.0)</f>
        <v>1</v>
      </c>
      <c r="G24" s="5" t="s">
        <v>129</v>
      </c>
    </row>
    <row r="25">
      <c r="A25" s="15">
        <f>IFERROR(__xludf.DUMMYFUNCTION("""COMPUTED_VALUE"""),45.0)</f>
        <v>45</v>
      </c>
      <c r="B25" s="15" t="str">
        <f>IFERROR(__xludf.DUMMYFUNCTION("""COMPUTED_VALUE"""),"Events Office")</f>
        <v>Events Office</v>
      </c>
      <c r="C25" s="15" t="str">
        <f>IFERROR(__xludf.DUMMYFUNCTION("""COMPUTED_VALUE"""),"create conferences by adding the conference name, start and end dates and times, short description, full agenda, conference website link, required budget, source of funding (extrernal or GUC), extra required resources")</f>
        <v>create conferences by adding the conference name, start and end dates and times, short description, full agenda, conference website link, required budget, source of funding (extrernal or GUC), extra required resources</v>
      </c>
      <c r="D25" s="15" t="str">
        <f>IFERROR(__xludf.DUMMYFUNCTION("""COMPUTED_VALUE"""),"the conference website will contain all the conference's details. Each conference usually has a landing page so there will be no need to add ALL the info to the event on the system")</f>
        <v>the conference website will contain all the conference's details. Each conference usually has a landing page so there will be no need to add ALL the info to the event on the system</v>
      </c>
      <c r="E25" s="15">
        <f>IFERROR(__xludf.DUMMYFUNCTION("""COMPUTED_VALUE"""),2.0)</f>
        <v>2</v>
      </c>
      <c r="F25" s="15">
        <f>IFERROR(__xludf.DUMMYFUNCTION("""COMPUTED_VALUE"""),1.0)</f>
        <v>1</v>
      </c>
      <c r="G25" s="5" t="s">
        <v>133</v>
      </c>
    </row>
    <row r="26">
      <c r="A26" s="15">
        <f>IFERROR(__xludf.DUMMYFUNCTION("""COMPUTED_VALUE"""),46.0)</f>
        <v>46</v>
      </c>
      <c r="B26" s="15" t="str">
        <f>IFERROR(__xludf.DUMMYFUNCTION("""COMPUTED_VALUE"""),"Events Office")</f>
        <v>Events Office</v>
      </c>
      <c r="C26" s="15" t="str">
        <f>IFERROR(__xludf.DUMMYFUNCTION("""COMPUTED_VALUE"""),"edit any of the conference details")</f>
        <v>edit any of the conference details</v>
      </c>
      <c r="D26" s="15"/>
      <c r="E26" s="15">
        <f>IFERROR(__xludf.DUMMYFUNCTION("""COMPUTED_VALUE"""),2.0)</f>
        <v>2</v>
      </c>
      <c r="F26" s="15">
        <f>IFERROR(__xludf.DUMMYFUNCTION("""COMPUTED_VALUE"""),1.0)</f>
        <v>1</v>
      </c>
      <c r="G26" s="5" t="s">
        <v>133</v>
      </c>
    </row>
    <row r="27">
      <c r="A27" s="15">
        <f>IFERROR(__xludf.DUMMYFUNCTION("""COMPUTED_VALUE"""),48.0)</f>
        <v>48</v>
      </c>
      <c r="B27" s="15" t="str">
        <f>IFERROR(__xludf.DUMMYFUNCTION("""COMPUTED_VALUE"""),"Events Office/Admin")</f>
        <v>Events Office/Admin</v>
      </c>
      <c r="C27" s="15" t="str">
        <f>IFERROR(__xludf.DUMMYFUNCTION("""COMPUTED_VALUE"""),"delete any event")</f>
        <v>delete any event</v>
      </c>
      <c r="D27" s="15" t="str">
        <f>IFERROR(__xludf.DUMMYFUNCTION("""COMPUTED_VALUE"""),"if no one registered for it yet")</f>
        <v>if no one registered for it yet</v>
      </c>
      <c r="E27" s="15">
        <f>IFERROR(__xludf.DUMMYFUNCTION("""COMPUTED_VALUE"""),2.0)</f>
        <v>2</v>
      </c>
      <c r="F27" s="15">
        <f>IFERROR(__xludf.DUMMYFUNCTION("""COMPUTED_VALUE"""),1.0)</f>
        <v>1</v>
      </c>
      <c r="G27" s="5" t="s">
        <v>131</v>
      </c>
    </row>
    <row r="28">
      <c r="A28" s="15">
        <f>IFERROR(__xludf.DUMMYFUNCTION("""COMPUTED_VALUE"""),59.0)</f>
        <v>59</v>
      </c>
      <c r="B28" s="15" t="str">
        <f>IFERROR(__xludf.DUMMYFUNCTION("""COMPUTED_VALUE"""),"Vendor")</f>
        <v>Vendor</v>
      </c>
      <c r="C28" s="15" t="str">
        <f>IFERROR(__xludf.DUMMYFUNCTION("""COMPUTED_VALUE"""),"view a list of upcoming bazaars ")</f>
        <v>view a list of upcoming bazaars </v>
      </c>
      <c r="D28" s="15"/>
      <c r="E28" s="15">
        <f>IFERROR(__xludf.DUMMYFUNCTION("""COMPUTED_VALUE"""),2.0)</f>
        <v>2</v>
      </c>
      <c r="F28" s="15">
        <f>IFERROR(__xludf.DUMMYFUNCTION("""COMPUTED_VALUE"""),1.0)</f>
        <v>1</v>
      </c>
      <c r="G28" s="5" t="s">
        <v>134</v>
      </c>
    </row>
    <row r="29">
      <c r="A29" s="15">
        <f>IFERROR(__xludf.DUMMYFUNCTION("""COMPUTED_VALUE"""),60.0)</f>
        <v>60</v>
      </c>
      <c r="B29" s="15" t="str">
        <f>IFERROR(__xludf.DUMMYFUNCTION("""COMPUTED_VALUE"""),"Vendor")</f>
        <v>Vendor</v>
      </c>
      <c r="C29" s="15" t="str">
        <f>IFERROR(__xludf.DUMMYFUNCTION("""COMPUTED_VALUE"""),"apply to join a bazaar from the list of bazaars by filling in a form with the following details: names and emails of a max of 5 individuals attending, booth size ")</f>
        <v>apply to join a bazaar from the list of bazaars by filling in a form with the following details: names and emails of a max of 5 individuals attending, booth size </v>
      </c>
      <c r="D29" s="15" t="str">
        <f>IFERROR(__xludf.DUMMYFUNCTION("""COMPUTED_VALUE"""),"booth size can be 2x2 or 4x4")</f>
        <v>booth size can be 2x2 or 4x4</v>
      </c>
      <c r="E29" s="15">
        <f>IFERROR(__xludf.DUMMYFUNCTION("""COMPUTED_VALUE"""),2.0)</f>
        <v>2</v>
      </c>
      <c r="F29" s="15">
        <f>IFERROR(__xludf.DUMMYFUNCTION("""COMPUTED_VALUE"""),1.0)</f>
        <v>1</v>
      </c>
      <c r="G29" s="5" t="s">
        <v>134</v>
      </c>
    </row>
    <row r="30">
      <c r="A30" s="15">
        <f>IFERROR(__xludf.DUMMYFUNCTION("""COMPUTED_VALUE"""),61.0)</f>
        <v>61</v>
      </c>
      <c r="B30" s="15" t="str">
        <f>IFERROR(__xludf.DUMMYFUNCTION("""COMPUTED_VALUE"""),"Vendor")</f>
        <v>Vendor</v>
      </c>
      <c r="C30" s="15" t="str">
        <f>IFERROR(__xludf.DUMMYFUNCTION("""COMPUTED_VALUE"""),"apply for a booth in platform by filling in a form with the following details: names and emails of a max of 5 individuals attending, duration of booth set up, location of booth setup, booth size ")</f>
        <v>apply for a booth in platform by filling in a form with the following details: names and emails of a max of 5 individuals attending, duration of booth set up, location of booth setup, booth size </v>
      </c>
      <c r="D30" s="15" t="str">
        <f>IFERROR(__xludf.DUMMYFUNCTION("""COMPUTED_VALUE"""),"duration can be 1 week - 4 weeks and location in platform will be selected according to a map of the platform and booth size can be 2x2 or 4x4")</f>
        <v>duration can be 1 week - 4 weeks and location in platform will be selected according to a map of the platform and booth size can be 2x2 or 4x4</v>
      </c>
      <c r="E30" s="15">
        <f>IFERROR(__xludf.DUMMYFUNCTION("""COMPUTED_VALUE"""),2.0)</f>
        <v>2</v>
      </c>
      <c r="F30" s="15">
        <f>IFERROR(__xludf.DUMMYFUNCTION("""COMPUTED_VALUE"""),1.0)</f>
        <v>1</v>
      </c>
      <c r="G30" s="5" t="s">
        <v>134</v>
      </c>
    </row>
    <row r="31">
      <c r="A31" s="15">
        <f>IFERROR(__xludf.DUMMYFUNCTION("""COMPUTED_VALUE"""),68.0)</f>
        <v>68</v>
      </c>
      <c r="B31" s="15" t="str">
        <f>IFERROR(__xludf.DUMMYFUNCTION("""COMPUTED_VALUE"""),"Vendor")</f>
        <v>Vendor</v>
      </c>
      <c r="C31" s="15" t="str">
        <f>IFERROR(__xludf.DUMMYFUNCTION("""COMPUTED_VALUE"""),"view all upcoming bazaars or booth set ups I am participating in (accepted requests only)")</f>
        <v>view all upcoming bazaars or booth set ups I am participating in (accepted requests only)</v>
      </c>
      <c r="D31" s="15"/>
      <c r="E31" s="15">
        <f>IFERROR(__xludf.DUMMYFUNCTION("""COMPUTED_VALUE"""),2.0)</f>
        <v>2</v>
      </c>
      <c r="F31" s="15">
        <f>IFERROR(__xludf.DUMMYFUNCTION("""COMPUTED_VALUE"""),1.0)</f>
        <v>1</v>
      </c>
      <c r="G31" s="5" t="s">
        <v>134</v>
      </c>
    </row>
    <row r="32">
      <c r="A32" s="15">
        <f>IFERROR(__xludf.DUMMYFUNCTION("""COMPUTED_VALUE"""),69.0)</f>
        <v>69</v>
      </c>
      <c r="B32" s="15" t="str">
        <f>IFERROR(__xludf.DUMMYFUNCTION("""COMPUTED_VALUE"""),"Vendor")</f>
        <v>Vendor</v>
      </c>
      <c r="C32" s="15" t="str">
        <f>IFERROR(__xludf.DUMMYFUNCTION("""COMPUTED_VALUE"""),"view all requests for upcoming bazaars or booth set ups I want to participate in (pending or rejected)")</f>
        <v>view all requests for upcoming bazaars or booth set ups I want to participate in (pending or rejected)</v>
      </c>
      <c r="D32" s="15"/>
      <c r="E32" s="15">
        <f>IFERROR(__xludf.DUMMYFUNCTION("""COMPUTED_VALUE"""),2.0)</f>
        <v>2</v>
      </c>
      <c r="F32" s="15">
        <f>IFERROR(__xludf.DUMMYFUNCTION("""COMPUTED_VALUE"""),1.0)</f>
        <v>1</v>
      </c>
      <c r="G32" s="5" t="s">
        <v>134</v>
      </c>
    </row>
    <row r="33">
      <c r="A33" s="15">
        <f>IFERROR(__xludf.DUMMYFUNCTION("""COMPUTED_VALUE"""),75.0)</f>
        <v>75</v>
      </c>
      <c r="B33" s="15" t="str">
        <f>IFERROR(__xludf.DUMMYFUNCTION("""COMPUTED_VALUE"""),"Events Office/Admin")</f>
        <v>Events Office/Admin</v>
      </c>
      <c r="C33" s="15" t="str">
        <f>IFERROR(__xludf.DUMMYFUNCTION("""COMPUTED_VALUE"""),"view the details of vendor participation requests in bazaars or booths")</f>
        <v>view the details of vendor participation requests in bazaars or booths</v>
      </c>
      <c r="D33" s="15"/>
      <c r="E33" s="15">
        <f>IFERROR(__xludf.DUMMYFUNCTION("""COMPUTED_VALUE"""),2.0)</f>
        <v>2</v>
      </c>
      <c r="F33" s="15">
        <f>IFERROR(__xludf.DUMMYFUNCTION("""COMPUTED_VALUE"""),1.0)</f>
        <v>1</v>
      </c>
      <c r="G33" s="5" t="s">
        <v>131</v>
      </c>
    </row>
    <row r="34">
      <c r="A34" s="15">
        <f>IFERROR(__xludf.DUMMYFUNCTION("""COMPUTED_VALUE"""),77.0)</f>
        <v>77</v>
      </c>
      <c r="B34" s="15" t="str">
        <f>IFERROR(__xludf.DUMMYFUNCTION("""COMPUTED_VALUE"""),"Events Office/Admin")</f>
        <v>Events Office/Admin</v>
      </c>
      <c r="C34" s="15" t="str">
        <f>IFERROR(__xludf.DUMMYFUNCTION("""COMPUTED_VALUE"""),"accept /reject vendors participation requests")</f>
        <v>accept /reject vendors participation requests</v>
      </c>
      <c r="D34" s="15"/>
      <c r="E34" s="15">
        <f>IFERROR(__xludf.DUMMYFUNCTION("""COMPUTED_VALUE"""),2.0)</f>
        <v>2</v>
      </c>
      <c r="F34" s="15">
        <f>IFERROR(__xludf.DUMMYFUNCTION("""COMPUTED_VALUE"""),1.0)</f>
        <v>1</v>
      </c>
      <c r="G34" s="5" t="s">
        <v>131</v>
      </c>
    </row>
    <row r="35">
      <c r="A35" s="15">
        <f>IFERROR(__xludf.DUMMYFUNCTION("""COMPUTED_VALUE"""),78.0)</f>
        <v>78</v>
      </c>
      <c r="B35" s="15" t="str">
        <f>IFERROR(__xludf.DUMMYFUNCTION("""COMPUTED_VALUE"""),"Student")</f>
        <v>Student</v>
      </c>
      <c r="C35" s="15" t="str">
        <f>IFERROR(__xludf.DUMMYFUNCTION("""COMPUTED_VALUE"""),"view all the courts on campus (basketball/tennis/football) and their availability dates and times")</f>
        <v>view all the courts on campus (basketball/tennis/football) and their availability dates and times</v>
      </c>
      <c r="D35" s="15"/>
      <c r="E35" s="15">
        <f>IFERROR(__xludf.DUMMYFUNCTION("""COMPUTED_VALUE"""),2.0)</f>
        <v>2</v>
      </c>
      <c r="F35" s="15">
        <f>IFERROR(__xludf.DUMMYFUNCTION("""COMPUTED_VALUE"""),1.0)</f>
        <v>1</v>
      </c>
      <c r="G35" s="5" t="s">
        <v>134</v>
      </c>
    </row>
    <row r="36">
      <c r="A36" s="15">
        <f>IFERROR(__xludf.DUMMYFUNCTION("""COMPUTED_VALUE"""),80.0)</f>
        <v>80</v>
      </c>
      <c r="B36" s="15" t="str">
        <f>IFERROR(__xludf.DUMMYFUNCTION("""COMPUTED_VALUE"""),"Student/Staff/ Events Office/TA/ Professor")</f>
        <v>Student/Staff/ Events Office/TA/ Professor</v>
      </c>
      <c r="C36" s="15" t="str">
        <f>IFERROR(__xludf.DUMMYFUNCTION("""COMPUTED_VALUE"""),"view the gym schedule for each month's sessions (e.g. yoga, pilates, aerobics, Zumba, cross circuit, kick-boxing)")</f>
        <v>view the gym schedule for each month's sessions (e.g. yoga, pilates, aerobics, Zumba, cross circuit, kick-boxing)</v>
      </c>
      <c r="D36" s="15"/>
      <c r="E36" s="15">
        <f>IFERROR(__xludf.DUMMYFUNCTION("""COMPUTED_VALUE"""),2.5)</f>
        <v>2.5</v>
      </c>
      <c r="F36" s="15">
        <f>IFERROR(__xludf.DUMMYFUNCTION("""COMPUTED_VALUE"""),1.0)</f>
        <v>1</v>
      </c>
      <c r="G36" s="5" t="s">
        <v>134</v>
      </c>
    </row>
    <row r="37">
      <c r="A37" s="15">
        <f>IFERROR(__xludf.DUMMYFUNCTION("""COMPUTED_VALUE"""),84.0)</f>
        <v>84</v>
      </c>
      <c r="B37" s="15" t="str">
        <f>IFERROR(__xludf.DUMMYFUNCTION("""COMPUTED_VALUE"""),"Events Office")</f>
        <v>Events Office</v>
      </c>
      <c r="C37" s="15" t="str">
        <f>IFERROR(__xludf.DUMMYFUNCTION("""COMPUTED_VALUE"""),"create a gym session with the following details: date, time, duration, type (e.g. yoga, pilates, aerobics, Zumba, cross circuit, kick-boxing), max number of participants")</f>
        <v>create a gym session with the following details: date, time, duration, type (e.g. yoga, pilates, aerobics, Zumba, cross circuit, kick-boxing), max number of participants</v>
      </c>
      <c r="D37" s="15"/>
      <c r="E37" s="15">
        <f>IFERROR(__xludf.DUMMYFUNCTION("""COMPUTED_VALUE"""),2.0)</f>
        <v>2</v>
      </c>
      <c r="F37" s="15">
        <f>IFERROR(__xludf.DUMMYFUNCTION("""COMPUTED_VALUE"""),1.0)</f>
        <v>1</v>
      </c>
      <c r="G37" s="5" t="s">
        <v>134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43.86"/>
    <col customWidth="1" min="3" max="3" width="31.71"/>
    <col customWidth="1" min="4" max="4" width="30.29"/>
    <col customWidth="1" min="7" max="7" width="21.14"/>
  </cols>
  <sheetData>
    <row r="1">
      <c r="B1" s="2" t="s">
        <v>0</v>
      </c>
      <c r="C1" s="2" t="s">
        <v>1</v>
      </c>
      <c r="D1" s="3" t="s">
        <v>2</v>
      </c>
      <c r="E1" s="4" t="s">
        <v>3</v>
      </c>
      <c r="F1" s="4" t="s">
        <v>4</v>
      </c>
      <c r="G1" s="5" t="s">
        <v>126</v>
      </c>
      <c r="H1" s="5" t="s">
        <v>127</v>
      </c>
    </row>
    <row r="2">
      <c r="A2" s="15">
        <f>IFERROR(__xludf.DUMMYFUNCTION("IFERROR(FILTER('Functional Requirements'!A:F, 'Functional Requirements'!F:F=2), ""No Sprint 2 items"")
"),3.0)</f>
        <v>3</v>
      </c>
      <c r="B2" s="15" t="str">
        <f>IFERROR(__xludf.DUMMYFUNCTION("""COMPUTED_VALUE"""),"Vendor")</f>
        <v>Vendor</v>
      </c>
      <c r="C2" s="15" t="str">
        <f>IFERROR(__xludf.DUMMYFUNCTION("""COMPUTED_VALUE"""),"upload tax card and logo to prove company validity")</f>
        <v>upload tax card and logo to prove company validity</v>
      </c>
      <c r="D2" s="15"/>
      <c r="E2" s="15">
        <f>IFERROR(__xludf.DUMMYFUNCTION("""COMPUTED_VALUE"""),2.0)</f>
        <v>2</v>
      </c>
      <c r="F2" s="15">
        <f>IFERROR(__xludf.DUMMYFUNCTION("""COMPUTED_VALUE"""),2.0)</f>
        <v>2</v>
      </c>
      <c r="G2" s="5" t="s">
        <v>129</v>
      </c>
    </row>
    <row r="3">
      <c r="A3" s="15">
        <f>IFERROR(__xludf.DUMMYFUNCTION("""COMPUTED_VALUE"""),4.0)</f>
        <v>4</v>
      </c>
      <c r="B3" s="15" t="str">
        <f>IFERROR(__xludf.DUMMYFUNCTION("""COMPUTED_VALUE"""),"Student")</f>
        <v>Student</v>
      </c>
      <c r="C3" s="15" t="str">
        <f>IFERROR(__xludf.DUMMYFUNCTION("""COMPUTED_VALUE"""),"receive a verification email after registration ")</f>
        <v>receive a verification email after registration </v>
      </c>
      <c r="D3" s="15" t="str">
        <f>IFERROR(__xludf.DUMMYFUNCTION("""COMPUTED_VALUE"""),"The verification mail should contain a verification link that automatically redirects me to the login page
If I didnot click on the link I shouldnt be verified hence the login should fail")</f>
        <v>The verification mail should contain a verification link that automatically redirects me to the login page
If I didnot click on the link I shouldnt be verified hence the login should fail</v>
      </c>
      <c r="E3" s="15">
        <f>IFERROR(__xludf.DUMMYFUNCTION("""COMPUTED_VALUE"""),2.0)</f>
        <v>2</v>
      </c>
      <c r="F3" s="15">
        <f>IFERROR(__xludf.DUMMYFUNCTION("""COMPUTED_VALUE"""),2.0)</f>
        <v>2</v>
      </c>
      <c r="G3" s="5" t="s">
        <v>129</v>
      </c>
    </row>
    <row r="4">
      <c r="A4" s="15">
        <f>IFERROR(__xludf.DUMMYFUNCTION("""COMPUTED_VALUE"""),13.0)</f>
        <v>13</v>
      </c>
      <c r="B4" s="15" t="str">
        <f>IFERROR(__xludf.DUMMYFUNCTION("""COMPUTED_VALUE"""),"Student/Staff/ Events Office/TA/ Professor/ Admin")</f>
        <v>Student/Staff/ Events Office/TA/ Professor/ Admin</v>
      </c>
      <c r="C4" s="15" t="str">
        <f>IFERROR(__xludf.DUMMYFUNCTION("""COMPUTED_VALUE"""),"filter the events by a specific name(Professor name incase of a workshop or a conference), location, type or date")</f>
        <v>filter the events by a specific name(Professor name incase of a workshop or a conference), location, type or date</v>
      </c>
      <c r="D4" s="15"/>
      <c r="E4" s="15">
        <f>IFERROR(__xludf.DUMMYFUNCTION("""COMPUTED_VALUE"""),3.0)</f>
        <v>3</v>
      </c>
      <c r="F4" s="15">
        <f>IFERROR(__xludf.DUMMYFUNCTION("""COMPUTED_VALUE"""),2.0)</f>
        <v>2</v>
      </c>
      <c r="G4" s="5" t="s">
        <v>132</v>
      </c>
    </row>
    <row r="5">
      <c r="A5" s="15">
        <f>IFERROR(__xludf.DUMMYFUNCTION("""COMPUTED_VALUE"""),14.0)</f>
        <v>14</v>
      </c>
      <c r="B5" s="15" t="str">
        <f>IFERROR(__xludf.DUMMYFUNCTION("""COMPUTED_VALUE"""),"Student/Staff/ Events Office/TA/ Professor/ Admin")</f>
        <v>Student/Staff/ Events Office/TA/ Professor/ Admin</v>
      </c>
      <c r="C5" s="15" t="str">
        <f>IFERROR(__xludf.DUMMYFUNCTION("""COMPUTED_VALUE"""),"sort the events by date")</f>
        <v>sort the events by date</v>
      </c>
      <c r="D5" s="15"/>
      <c r="E5" s="15">
        <f>IFERROR(__xludf.DUMMYFUNCTION("""COMPUTED_VALUE"""),3.0)</f>
        <v>3</v>
      </c>
      <c r="F5" s="15">
        <f>IFERROR(__xludf.DUMMYFUNCTION("""COMPUTED_VALUE"""),2.0)</f>
        <v>2</v>
      </c>
      <c r="G5" s="5" t="s">
        <v>132</v>
      </c>
    </row>
    <row r="6">
      <c r="A6" s="15">
        <f>IFERROR(__xludf.DUMMYFUNCTION("""COMPUTED_VALUE"""),15.0)</f>
        <v>15</v>
      </c>
      <c r="B6" s="15" t="str">
        <f>IFERROR(__xludf.DUMMYFUNCTION("""COMPUTED_VALUE"""),"Student/Staff/ TA/ Professor")</f>
        <v>Student/Staff/ TA/ Professor</v>
      </c>
      <c r="C6" s="15" t="str">
        <f>IFERROR(__xludf.DUMMYFUNCTION("""COMPUTED_VALUE"""),"rate an event that i attended ")</f>
        <v>rate an event that i attended </v>
      </c>
      <c r="D6" s="15"/>
      <c r="E6" s="15">
        <f>IFERROR(__xludf.DUMMYFUNCTION("""COMPUTED_VALUE"""),2.0)</f>
        <v>2</v>
      </c>
      <c r="F6" s="15">
        <f>IFERROR(__xludf.DUMMYFUNCTION("""COMPUTED_VALUE"""),2.0)</f>
        <v>2</v>
      </c>
    </row>
    <row r="7">
      <c r="A7" s="15">
        <f>IFERROR(__xludf.DUMMYFUNCTION("""COMPUTED_VALUE"""),16.0)</f>
        <v>16</v>
      </c>
      <c r="B7" s="15" t="str">
        <f>IFERROR(__xludf.DUMMYFUNCTION("""COMPUTED_VALUE"""),"Student/Staff/TA/ Professor")</f>
        <v>Student/Staff/TA/ Professor</v>
      </c>
      <c r="C7" s="15" t="str">
        <f>IFERROR(__xludf.DUMMYFUNCTION("""COMPUTED_VALUE"""),"comment on an event that i attended")</f>
        <v>comment on an event that i attended</v>
      </c>
      <c r="D7" s="15"/>
      <c r="E7" s="15">
        <f>IFERROR(__xludf.DUMMYFUNCTION("""COMPUTED_VALUE"""),2.0)</f>
        <v>2</v>
      </c>
      <c r="F7" s="15">
        <f>IFERROR(__xludf.DUMMYFUNCTION("""COMPUTED_VALUE"""),2.0)</f>
        <v>2</v>
      </c>
    </row>
    <row r="8">
      <c r="A8" s="15">
        <f>IFERROR(__xludf.DUMMYFUNCTION("""COMPUTED_VALUE"""),17.0)</f>
        <v>17</v>
      </c>
      <c r="B8" s="15" t="str">
        <f>IFERROR(__xludf.DUMMYFUNCTION("""COMPUTED_VALUE"""),"Student/Staff/ Events Office/TA/ Professor/ Admin")</f>
        <v>Student/Staff/ Events Office/TA/ Professor/ Admin</v>
      </c>
      <c r="C8" s="15" t="str">
        <f>IFERROR(__xludf.DUMMYFUNCTION("""COMPUTED_VALUE"""),"view all ratings and comments on any event")</f>
        <v>view all ratings and comments on any event</v>
      </c>
      <c r="D8" s="15"/>
      <c r="E8" s="15">
        <f>IFERROR(__xludf.DUMMYFUNCTION("""COMPUTED_VALUE"""),3.0)</f>
        <v>3</v>
      </c>
      <c r="F8" s="15">
        <f>IFERROR(__xludf.DUMMYFUNCTION("""COMPUTED_VALUE"""),2.0)</f>
        <v>2</v>
      </c>
    </row>
    <row r="9">
      <c r="A9" s="15">
        <f>IFERROR(__xludf.DUMMYFUNCTION("""COMPUTED_VALUE"""),18.0)</f>
        <v>18</v>
      </c>
      <c r="B9" s="15" t="str">
        <f>IFERROR(__xludf.DUMMYFUNCTION("""COMPUTED_VALUE"""),"Admin")</f>
        <v>Admin</v>
      </c>
      <c r="C9" s="15" t="str">
        <f>IFERROR(__xludf.DUMMYFUNCTION("""COMPUTED_VALUE"""),"delete any inappropriate comments")</f>
        <v>delete any inappropriate comments</v>
      </c>
      <c r="D9" s="15"/>
      <c r="E9" s="15">
        <f>IFERROR(__xludf.DUMMYFUNCTION("""COMPUTED_VALUE"""),2.0)</f>
        <v>2</v>
      </c>
      <c r="F9" s="15">
        <f>IFERROR(__xludf.DUMMYFUNCTION("""COMPUTED_VALUE"""),2.0)</f>
        <v>2</v>
      </c>
    </row>
    <row r="10">
      <c r="A10" s="15">
        <f>IFERROR(__xludf.DUMMYFUNCTION("""COMPUTED_VALUE"""),19.0)</f>
        <v>19</v>
      </c>
      <c r="B10" s="15" t="str">
        <f>IFERROR(__xludf.DUMMYFUNCTION("""COMPUTED_VALUE"""),"Admin")</f>
        <v>Admin</v>
      </c>
      <c r="C10" s="15" t="str">
        <f>IFERROR(__xludf.DUMMYFUNCTION("""COMPUTED_VALUE"""),"block any user")</f>
        <v>block any user</v>
      </c>
      <c r="D10" s="15"/>
      <c r="E10" s="15">
        <f>IFERROR(__xludf.DUMMYFUNCTION("""COMPUTED_VALUE"""),2.0)</f>
        <v>2</v>
      </c>
      <c r="F10" s="15">
        <f>IFERROR(__xludf.DUMMYFUNCTION("""COMPUTED_VALUE"""),2.0)</f>
        <v>2</v>
      </c>
    </row>
    <row r="11">
      <c r="A11" s="15">
        <f>IFERROR(__xludf.DUMMYFUNCTION("""COMPUTED_VALUE"""),21.0)</f>
        <v>21</v>
      </c>
      <c r="B11" s="15" t="str">
        <f>IFERROR(__xludf.DUMMYFUNCTION("""COMPUTED_VALUE"""),"Student/Staff/ Events Office/TA/ Professor")</f>
        <v>Student/Staff/ Events Office/TA/ Professor</v>
      </c>
      <c r="C11" s="15" t="str">
        <f>IFERROR(__xludf.DUMMYFUNCTION("""COMPUTED_VALUE"""),"receive a warning email if any of my comments were deleted for being inappropriate")</f>
        <v>receive a warning email if any of my comments were deleted for being inappropriate</v>
      </c>
      <c r="D11" s="15"/>
      <c r="E11" s="15">
        <f>IFERROR(__xludf.DUMMYFUNCTION("""COMPUTED_VALUE"""),5.0)</f>
        <v>5</v>
      </c>
      <c r="F11" s="15">
        <f>IFERROR(__xludf.DUMMYFUNCTION("""COMPUTED_VALUE"""),2.0)</f>
        <v>2</v>
      </c>
    </row>
    <row r="12">
      <c r="A12" s="15">
        <f>IFERROR(__xludf.DUMMYFUNCTION("""COMPUTED_VALUE"""),22.0)</f>
        <v>22</v>
      </c>
      <c r="B12" s="15" t="str">
        <f>IFERROR(__xludf.DUMMYFUNCTION("""COMPUTED_VALUE"""),"Student/Staff/TA/Professor")</f>
        <v>Student/Staff/TA/Professor</v>
      </c>
      <c r="C12" s="15" t="str">
        <f>IFERROR(__xludf.DUMMYFUNCTION("""COMPUTED_VALUE"""),"add an event to their favorites list")</f>
        <v>add an event to their favorites list</v>
      </c>
      <c r="D12" s="15"/>
      <c r="E12" s="15">
        <f>IFERROR(__xludf.DUMMYFUNCTION("""COMPUTED_VALUE"""),4.0)</f>
        <v>4</v>
      </c>
      <c r="F12" s="15">
        <f>IFERROR(__xludf.DUMMYFUNCTION("""COMPUTED_VALUE"""),2.0)</f>
        <v>2</v>
      </c>
    </row>
    <row r="13">
      <c r="A13" s="15">
        <f>IFERROR(__xludf.DUMMYFUNCTION("""COMPUTED_VALUE"""),23.0)</f>
        <v>23</v>
      </c>
      <c r="B13" s="15" t="str">
        <f>IFERROR(__xludf.DUMMYFUNCTION("""COMPUTED_VALUE"""),"Student/Staff/TA/Professor")</f>
        <v>Student/Staff/TA/Professor</v>
      </c>
      <c r="C13" s="15" t="str">
        <f>IFERROR(__xludf.DUMMYFUNCTION("""COMPUTED_VALUE"""),"view my favorites list")</f>
        <v>view my favorites list</v>
      </c>
      <c r="D13" s="15"/>
      <c r="E13" s="15">
        <f>IFERROR(__xludf.DUMMYFUNCTION("""COMPUTED_VALUE"""),4.0)</f>
        <v>4</v>
      </c>
      <c r="F13" s="15">
        <f>IFERROR(__xludf.DUMMYFUNCTION("""COMPUTED_VALUE"""),2.0)</f>
        <v>2</v>
      </c>
    </row>
    <row r="14">
      <c r="A14" s="15">
        <f>IFERROR(__xludf.DUMMYFUNCTION("""COMPUTED_VALUE"""),25.0)</f>
        <v>25</v>
      </c>
      <c r="B14" s="15" t="str">
        <f>IFERROR(__xludf.DUMMYFUNCTION("""COMPUTED_VALUE"""),"Student/Staff/TA/Professor")</f>
        <v>Student/Staff/TA/Professor</v>
      </c>
      <c r="C14" s="15" t="str">
        <f>IFERROR(__xludf.DUMMYFUNCTION("""COMPUTED_VALUE"""),"pay for the workshop/trip he/she registered for using credit card/ debit card (using Stripe) or from wallet if available")</f>
        <v>pay for the workshop/trip he/she registered for using credit card/ debit card (using Stripe) or from wallet if available</v>
      </c>
      <c r="D14" s="15"/>
      <c r="E14" s="15">
        <f>IFERROR(__xludf.DUMMYFUNCTION("""COMPUTED_VALUE"""),4.0)</f>
        <v>4</v>
      </c>
      <c r="F14" s="15">
        <f>IFERROR(__xludf.DUMMYFUNCTION("""COMPUTED_VALUE"""),2.0)</f>
        <v>2</v>
      </c>
    </row>
    <row r="15">
      <c r="A15" s="15">
        <f>IFERROR(__xludf.DUMMYFUNCTION("""COMPUTED_VALUE"""),26.0)</f>
        <v>26</v>
      </c>
      <c r="B15" s="15" t="str">
        <f>IFERROR(__xludf.DUMMYFUNCTION("""COMPUTED_VALUE"""),"Student/Staff/TA/Professor")</f>
        <v>Student/Staff/TA/Professor</v>
      </c>
      <c r="C15" s="15" t="str">
        <f>IFERROR(__xludf.DUMMYFUNCTION("""COMPUTED_VALUE"""),"receive a payment receipt via email upon paying")</f>
        <v>receive a payment receipt via email upon paying</v>
      </c>
      <c r="D15" s="15"/>
      <c r="E15" s="15">
        <f>IFERROR(__xludf.DUMMYFUNCTION("""COMPUTED_VALUE"""),4.0)</f>
        <v>4</v>
      </c>
      <c r="F15" s="15">
        <f>IFERROR(__xludf.DUMMYFUNCTION("""COMPUTED_VALUE"""),2.0)</f>
        <v>2</v>
      </c>
    </row>
    <row r="16">
      <c r="A16" s="15">
        <f>IFERROR(__xludf.DUMMYFUNCTION("""COMPUTED_VALUE"""),28.0)</f>
        <v>28</v>
      </c>
      <c r="B16" s="15" t="str">
        <f>IFERROR(__xludf.DUMMYFUNCTION("""COMPUTED_VALUE"""),"Student/Staff/TA/Professor")</f>
        <v>Student/Staff/TA/Professor</v>
      </c>
      <c r="C16" s="15" t="str">
        <f>IFERROR(__xludf.DUMMYFUNCTION("""COMPUTED_VALUE"""),"cancel the registration and refund the amount paid on my wallet")</f>
        <v>cancel the registration and refund the amount paid on my wallet</v>
      </c>
      <c r="D16" s="15" t="str">
        <f>IFERROR(__xludf.DUMMYFUNCTION("""COMPUTED_VALUE"""),"cancellation can only be accepted if there are still 2 weeks for the event")</f>
        <v>cancellation can only be accepted if there are still 2 weeks for the event</v>
      </c>
      <c r="E16" s="15">
        <f>IFERROR(__xludf.DUMMYFUNCTION("""COMPUTED_VALUE"""),4.0)</f>
        <v>4</v>
      </c>
      <c r="F16" s="15">
        <f>IFERROR(__xludf.DUMMYFUNCTION("""COMPUTED_VALUE"""),2.0)</f>
        <v>2</v>
      </c>
    </row>
    <row r="17">
      <c r="A17" s="15">
        <f>IFERROR(__xludf.DUMMYFUNCTION("""COMPUTED_VALUE"""),29.0)</f>
        <v>29</v>
      </c>
      <c r="B17" s="15" t="str">
        <f>IFERROR(__xludf.DUMMYFUNCTION("""COMPUTED_VALUE"""),"Student/Staff/TA/Professor")</f>
        <v>Student/Staff/TA/Professor</v>
      </c>
      <c r="C17" s="15" t="str">
        <f>IFERROR(__xludf.DUMMYFUNCTION("""COMPUTED_VALUE"""),"view amount refunded in my wallet")</f>
        <v>view amount refunded in my wallet</v>
      </c>
      <c r="D17" s="15"/>
      <c r="E17" s="15">
        <f>IFERROR(__xludf.DUMMYFUNCTION("""COMPUTED_VALUE"""),4.0)</f>
        <v>4</v>
      </c>
      <c r="F17" s="15">
        <f>IFERROR(__xludf.DUMMYFUNCTION("""COMPUTED_VALUE"""),2.0)</f>
        <v>2</v>
      </c>
    </row>
    <row r="18">
      <c r="A18" s="15">
        <f>IFERROR(__xludf.DUMMYFUNCTION("""COMPUTED_VALUE"""),30.0)</f>
        <v>30</v>
      </c>
      <c r="B18" s="15" t="str">
        <f>IFERROR(__xludf.DUMMYFUNCTION("""COMPUTED_VALUE"""),"Student/Staff/TA/Professor")</f>
        <v>Student/Staff/TA/Professor</v>
      </c>
      <c r="C18" s="15" t="str">
        <f>IFERROR(__xludf.DUMMYFUNCTION("""COMPUTED_VALUE"""),"receive a certificate of attendance upon finishing workshop via email")</f>
        <v>receive a certificate of attendance upon finishing workshop via email</v>
      </c>
      <c r="D18" s="15"/>
      <c r="E18" s="15">
        <f>IFERROR(__xludf.DUMMYFUNCTION("""COMPUTED_VALUE"""),4.0)</f>
        <v>4</v>
      </c>
      <c r="F18" s="15">
        <f>IFERROR(__xludf.DUMMYFUNCTION("""COMPUTED_VALUE"""),2.0)</f>
        <v>2</v>
      </c>
    </row>
    <row r="19">
      <c r="A19" s="15">
        <f>IFERROR(__xludf.DUMMYFUNCTION("""COMPUTED_VALUE"""),38.0)</f>
        <v>38</v>
      </c>
      <c r="B19" s="15" t="str">
        <f>IFERROR(__xludf.DUMMYFUNCTION("""COMPUTED_VALUE"""),"Professor")</f>
        <v>Professor</v>
      </c>
      <c r="C19" s="15" t="str">
        <f>IFERROR(__xludf.DUMMYFUNCTION("""COMPUTED_VALUE"""),"view a list of participants in a workshop that i created and the number of remaining spots")</f>
        <v>view a list of participants in a workshop that i created and the number of remaining spots</v>
      </c>
      <c r="D19" s="15"/>
      <c r="E19" s="15">
        <f>IFERROR(__xludf.DUMMYFUNCTION("""COMPUTED_VALUE"""),2.0)</f>
        <v>2</v>
      </c>
      <c r="F19" s="15">
        <f>IFERROR(__xludf.DUMMYFUNCTION("""COMPUTED_VALUE"""),2.0)</f>
        <v>2</v>
      </c>
    </row>
    <row r="20">
      <c r="A20" s="15">
        <f>IFERROR(__xludf.DUMMYFUNCTION("""COMPUTED_VALUE"""),39.0)</f>
        <v>39</v>
      </c>
      <c r="B20" s="15" t="str">
        <f>IFERROR(__xludf.DUMMYFUNCTION("""COMPUTED_VALUE"""),"Events Office")</f>
        <v>Events Office</v>
      </c>
      <c r="C20" s="15" t="str">
        <f>IFERROR(__xludf.DUMMYFUNCTION("""COMPUTED_VALUE"""),"receive notifications on the system when doctors submit workshop requests")</f>
        <v>receive notifications on the system when doctors submit workshop requests</v>
      </c>
      <c r="D20" s="15"/>
      <c r="E20" s="15">
        <f>IFERROR(__xludf.DUMMYFUNCTION("""COMPUTED_VALUE"""),2.0)</f>
        <v>2</v>
      </c>
      <c r="F20" s="15">
        <f>IFERROR(__xludf.DUMMYFUNCTION("""COMPUTED_VALUE"""),2.0)</f>
        <v>2</v>
      </c>
    </row>
    <row r="21">
      <c r="A21" s="15">
        <f>IFERROR(__xludf.DUMMYFUNCTION("""COMPUTED_VALUE"""),43.0)</f>
        <v>43</v>
      </c>
      <c r="B21" s="15" t="str">
        <f>IFERROR(__xludf.DUMMYFUNCTION("""COMPUTED_VALUE"""),"Professor")</f>
        <v>Professor</v>
      </c>
      <c r="C21" s="15" t="str">
        <f>IFERROR(__xludf.DUMMYFUNCTION("""COMPUTED_VALUE"""),"view status and any requested edits of my submitted workshops")</f>
        <v>view status and any requested edits of my submitted workshops</v>
      </c>
      <c r="D21" s="15"/>
      <c r="E21" s="15">
        <f>IFERROR(__xludf.DUMMYFUNCTION("""COMPUTED_VALUE"""),2.0)</f>
        <v>2</v>
      </c>
      <c r="F21" s="15">
        <f>IFERROR(__xludf.DUMMYFUNCTION("""COMPUTED_VALUE"""),2.0)</f>
        <v>2</v>
      </c>
    </row>
    <row r="22">
      <c r="A22" s="15">
        <f>IFERROR(__xludf.DUMMYFUNCTION("""COMPUTED_VALUE"""),44.0)</f>
        <v>44</v>
      </c>
      <c r="B22" s="15" t="str">
        <f>IFERROR(__xludf.DUMMYFUNCTION("""COMPUTED_VALUE"""),"Professor")</f>
        <v>Professor</v>
      </c>
      <c r="C22" s="15" t="str">
        <f>IFERROR(__xludf.DUMMYFUNCTION("""COMPUTED_VALUE"""),"receive a notification on the system if my workshop has been accepted/rejected")</f>
        <v>receive a notification on the system if my workshop has been accepted/rejected</v>
      </c>
      <c r="D22" s="15"/>
      <c r="E22" s="15">
        <f>IFERROR(__xludf.DUMMYFUNCTION("""COMPUTED_VALUE"""),2.0)</f>
        <v>2</v>
      </c>
      <c r="F22" s="15">
        <f>IFERROR(__xludf.DUMMYFUNCTION("""COMPUTED_VALUE"""),2.0)</f>
        <v>2</v>
      </c>
    </row>
    <row r="23">
      <c r="A23" s="15">
        <f>IFERROR(__xludf.DUMMYFUNCTION("""COMPUTED_VALUE"""),47.0)</f>
        <v>47</v>
      </c>
      <c r="B23" s="15" t="str">
        <f>IFERROR(__xludf.DUMMYFUNCTION("""COMPUTED_VALUE"""),"Events Office")</f>
        <v>Events Office</v>
      </c>
      <c r="C23" s="15" t="str">
        <f>IFERROR(__xludf.DUMMYFUNCTION("""COMPUTED_VALUE"""),"archive events that have already passed")</f>
        <v>archive events that have already passed</v>
      </c>
      <c r="D23" s="15" t="str">
        <f>IFERROR(__xludf.DUMMYFUNCTION("""COMPUTED_VALUE"""),"this applies to ALL kinds of events on the system")</f>
        <v>this applies to ALL kinds of events on the system</v>
      </c>
      <c r="E23" s="15">
        <f>IFERROR(__xludf.DUMMYFUNCTION("""COMPUTED_VALUE"""),2.0)</f>
        <v>2</v>
      </c>
      <c r="F23" s="15">
        <f>IFERROR(__xludf.DUMMYFUNCTION("""COMPUTED_VALUE"""),2.0)</f>
        <v>2</v>
      </c>
    </row>
    <row r="24">
      <c r="A24" s="15">
        <f>IFERROR(__xludf.DUMMYFUNCTION("""COMPUTED_VALUE"""),49.0)</f>
        <v>49</v>
      </c>
      <c r="B24" s="15" t="str">
        <f>IFERROR(__xludf.DUMMYFUNCTION("""COMPUTED_VALUE"""),"Events Office ")</f>
        <v>Events Office </v>
      </c>
      <c r="C24" s="15" t="str">
        <f>IFERROR(__xludf.DUMMYFUNCTION("""COMPUTED_VALUE"""),"export names of those registered for any event (except conferences) in a .xlxs sheet")</f>
        <v>export names of those registered for any event (except conferences) in a .xlxs sheet</v>
      </c>
      <c r="D24" s="15"/>
      <c r="E24" s="15">
        <f>IFERROR(__xludf.DUMMYFUNCTION("""COMPUTED_VALUE"""),2.0)</f>
        <v>2</v>
      </c>
      <c r="F24" s="15">
        <f>IFERROR(__xludf.DUMMYFUNCTION("""COMPUTED_VALUE"""),2.0)</f>
        <v>2</v>
      </c>
    </row>
    <row r="25">
      <c r="A25" s="15">
        <f>IFERROR(__xludf.DUMMYFUNCTION("""COMPUTED_VALUE"""),50.0)</f>
        <v>50</v>
      </c>
      <c r="B25" s="15" t="str">
        <f>IFERROR(__xludf.DUMMYFUNCTION("""COMPUTED_VALUE"""),"Events Office")</f>
        <v>Events Office</v>
      </c>
      <c r="C25" s="15" t="str">
        <f>IFERROR(__xludf.DUMMYFUNCTION("""COMPUTED_VALUE"""),"restrict events to specific users")</f>
        <v>restrict events to specific users</v>
      </c>
      <c r="D25" s="15" t="str">
        <f>IFERROR(__xludf.DUMMYFUNCTION("""COMPUTED_VALUE"""),"means i can choose if this workshop is only available for students for example")</f>
        <v>means i can choose if this workshop is only available for students for example</v>
      </c>
      <c r="E25" s="15">
        <f>IFERROR(__xludf.DUMMYFUNCTION("""COMPUTED_VALUE"""),2.0)</f>
        <v>2</v>
      </c>
      <c r="F25" s="15">
        <f>IFERROR(__xludf.DUMMYFUNCTION("""COMPUTED_VALUE"""),2.0)</f>
        <v>2</v>
      </c>
    </row>
    <row r="26">
      <c r="A26" s="15">
        <f>IFERROR(__xludf.DUMMYFUNCTION("""COMPUTED_VALUE"""),51.0)</f>
        <v>51</v>
      </c>
      <c r="B26" s="15" t="str">
        <f>IFERROR(__xludf.DUMMYFUNCTION("""COMPUTED_VALUE"""),"Events Office")</f>
        <v>Events Office</v>
      </c>
      <c r="C26" s="15" t="str">
        <f>IFERROR(__xludf.DUMMYFUNCTION("""COMPUTED_VALUE"""),"generate QR codes for external visitors to bazaars and career fairs")</f>
        <v>generate QR codes for external visitors to bazaars and career fairs</v>
      </c>
      <c r="D26" s="15"/>
      <c r="E26" s="15">
        <f>IFERROR(__xludf.DUMMYFUNCTION("""COMPUTED_VALUE"""),2.0)</f>
        <v>2</v>
      </c>
      <c r="F26" s="15">
        <f>IFERROR(__xludf.DUMMYFUNCTION("""COMPUTED_VALUE"""),2.0)</f>
        <v>2</v>
      </c>
    </row>
    <row r="27">
      <c r="A27" s="15">
        <f>IFERROR(__xludf.DUMMYFUNCTION("""COMPUTED_VALUE"""),52.0)</f>
        <v>52</v>
      </c>
      <c r="B27" s="15" t="str">
        <f>IFERROR(__xludf.DUMMYFUNCTION("""COMPUTED_VALUE"""),"Events Office/Admin")</f>
        <v>Events Office/Admin</v>
      </c>
      <c r="C27" s="15" t="str">
        <f>IFERROR(__xludf.DUMMYFUNCTION("""COMPUTED_VALUE"""),"view a report containing the total number of attendees in events ")</f>
        <v>view a report containing the total number of attendees in events </v>
      </c>
      <c r="D27" s="15"/>
      <c r="E27" s="15">
        <f>IFERROR(__xludf.DUMMYFUNCTION("""COMPUTED_VALUE"""),2.0)</f>
        <v>2</v>
      </c>
      <c r="F27" s="15">
        <f>IFERROR(__xludf.DUMMYFUNCTION("""COMPUTED_VALUE"""),2.0)</f>
        <v>2</v>
      </c>
    </row>
    <row r="28">
      <c r="A28" s="15">
        <f>IFERROR(__xludf.DUMMYFUNCTION("""COMPUTED_VALUE"""),53.0)</f>
        <v>53</v>
      </c>
      <c r="B28" s="15" t="str">
        <f>IFERROR(__xludf.DUMMYFUNCTION("""COMPUTED_VALUE"""),"Events Office/Admin")</f>
        <v>Events Office/Admin</v>
      </c>
      <c r="C28" s="15" t="str">
        <f>IFERROR(__xludf.DUMMYFUNCTION("""COMPUTED_VALUE"""),"filter the report of total number of attendees in events by event name/event type/date")</f>
        <v>filter the report of total number of attendees in events by event name/event type/date</v>
      </c>
      <c r="D28" s="15"/>
      <c r="E28" s="15">
        <f>IFERROR(__xludf.DUMMYFUNCTION("""COMPUTED_VALUE"""),2.0)</f>
        <v>2</v>
      </c>
      <c r="F28" s="15">
        <f>IFERROR(__xludf.DUMMYFUNCTION("""COMPUTED_VALUE"""),2.0)</f>
        <v>2</v>
      </c>
    </row>
    <row r="29">
      <c r="A29" s="15">
        <f>IFERROR(__xludf.DUMMYFUNCTION("""COMPUTED_VALUE"""),54.0)</f>
        <v>54</v>
      </c>
      <c r="B29" s="15" t="str">
        <f>IFERROR(__xludf.DUMMYFUNCTION("""COMPUTED_VALUE"""),"Events Office/Admin")</f>
        <v>Events Office/Admin</v>
      </c>
      <c r="C29" s="15" t="str">
        <f>IFERROR(__xludf.DUMMYFUNCTION("""COMPUTED_VALUE"""),"view a sales report containing all the revenue from different events")</f>
        <v>view a sales report containing all the revenue from different events</v>
      </c>
      <c r="D29" s="15"/>
      <c r="E29" s="15">
        <f>IFERROR(__xludf.DUMMYFUNCTION("""COMPUTED_VALUE"""),2.0)</f>
        <v>2</v>
      </c>
      <c r="F29" s="15">
        <f>IFERROR(__xludf.DUMMYFUNCTION("""COMPUTED_VALUE"""),2.0)</f>
        <v>2</v>
      </c>
    </row>
    <row r="30">
      <c r="A30" s="15">
        <f>IFERROR(__xludf.DUMMYFUNCTION("""COMPUTED_VALUE"""),55.0)</f>
        <v>55</v>
      </c>
      <c r="B30" s="15" t="str">
        <f>IFERROR(__xludf.DUMMYFUNCTION("""COMPUTED_VALUE"""),"Events Office/Admin")</f>
        <v>Events Office/Admin</v>
      </c>
      <c r="C30" s="15" t="str">
        <f>IFERROR(__xludf.DUMMYFUNCTION("""COMPUTED_VALUE"""),"filter sales report based on event type and/or date")</f>
        <v>filter sales report based on event type and/or date</v>
      </c>
      <c r="D30" s="15"/>
      <c r="E30" s="15">
        <f>IFERROR(__xludf.DUMMYFUNCTION("""COMPUTED_VALUE"""),2.0)</f>
        <v>2</v>
      </c>
      <c r="F30" s="15">
        <f>IFERROR(__xludf.DUMMYFUNCTION("""COMPUTED_VALUE"""),2.0)</f>
        <v>2</v>
      </c>
    </row>
    <row r="31">
      <c r="A31" s="15">
        <f>IFERROR(__xludf.DUMMYFUNCTION("""COMPUTED_VALUE"""),56.0)</f>
        <v>56</v>
      </c>
      <c r="B31" s="15" t="str">
        <f>IFERROR(__xludf.DUMMYFUNCTION("""COMPUTED_VALUE"""),"Events Office/Admin")</f>
        <v>Events Office/Admin</v>
      </c>
      <c r="C31" s="15" t="str">
        <f>IFERROR(__xludf.DUMMYFUNCTION("""COMPUTED_VALUE"""),"sort sales report by revenue (least to greatest or greatest to least)")</f>
        <v>sort sales report by revenue (least to greatest or greatest to least)</v>
      </c>
      <c r="D31" s="15"/>
      <c r="E31" s="15">
        <f>IFERROR(__xludf.DUMMYFUNCTION("""COMPUTED_VALUE"""),2.0)</f>
        <v>2</v>
      </c>
      <c r="F31" s="15">
        <f>IFERROR(__xludf.DUMMYFUNCTION("""COMPUTED_VALUE"""),2.0)</f>
        <v>2</v>
      </c>
    </row>
    <row r="32">
      <c r="A32" s="15">
        <f>IFERROR(__xludf.DUMMYFUNCTION("""COMPUTED_VALUE"""),57.0)</f>
        <v>57</v>
      </c>
      <c r="B32" s="15" t="str">
        <f>IFERROR(__xludf.DUMMYFUNCTION("""COMPUTED_VALUE"""),"Student/Staff/ Events Office/TA/ Professor")</f>
        <v>Student/Staff/ Events Office/TA/ Professor</v>
      </c>
      <c r="C32" s="15" t="str">
        <f>IFERROR(__xludf.DUMMYFUNCTION("""COMPUTED_VALUE"""),"receive notifications on the system for any new added events")</f>
        <v>receive notifications on the system for any new added events</v>
      </c>
      <c r="D32" s="15"/>
      <c r="E32" s="15">
        <f>IFERROR(__xludf.DUMMYFUNCTION("""COMPUTED_VALUE"""),5.0)</f>
        <v>5</v>
      </c>
      <c r="F32" s="15">
        <f>IFERROR(__xludf.DUMMYFUNCTION("""COMPUTED_VALUE"""),2.0)</f>
        <v>2</v>
      </c>
    </row>
    <row r="33">
      <c r="A33" s="15">
        <f>IFERROR(__xludf.DUMMYFUNCTION("""COMPUTED_VALUE"""),58.0)</f>
        <v>58</v>
      </c>
      <c r="B33" s="15" t="str">
        <f>IFERROR(__xludf.DUMMYFUNCTION("""COMPUTED_VALUE"""),"Student/Staff/ Events Office/TA/ Professor")</f>
        <v>Student/Staff/ Events Office/TA/ Professor</v>
      </c>
      <c r="C33" s="15" t="str">
        <f>IFERROR(__xludf.DUMMYFUNCTION("""COMPUTED_VALUE"""),"receive reminders as notifications on the system for any events i registered for 1 day and 1 hour prior")</f>
        <v>receive reminders as notifications on the system for any events i registered for 1 day and 1 hour prior</v>
      </c>
      <c r="D33" s="15"/>
      <c r="E33" s="15">
        <f>IFERROR(__xludf.DUMMYFUNCTION("""COMPUTED_VALUE"""),5.0)</f>
        <v>5</v>
      </c>
      <c r="F33" s="15">
        <f>IFERROR(__xludf.DUMMYFUNCTION("""COMPUTED_VALUE"""),2.0)</f>
        <v>2</v>
      </c>
    </row>
    <row r="34">
      <c r="A34" s="15">
        <f>IFERROR(__xludf.DUMMYFUNCTION("""COMPUTED_VALUE"""),62.0)</f>
        <v>62</v>
      </c>
      <c r="B34" s="15" t="str">
        <f>IFERROR(__xludf.DUMMYFUNCTION("""COMPUTED_VALUE"""),"Vendor")</f>
        <v>Vendor</v>
      </c>
      <c r="C34" s="15" t="str">
        <f>IFERROR(__xludf.DUMMYFUNCTION("""COMPUTED_VALUE"""),"upload IDs of individuals attending for the entire duration of bazaar or booth set up in platform")</f>
        <v>upload IDs of individuals attending for the entire duration of bazaar or booth set up in platform</v>
      </c>
      <c r="D34" s="15"/>
      <c r="E34" s="15">
        <f>IFERROR(__xludf.DUMMYFUNCTION("""COMPUTED_VALUE"""),2.0)</f>
        <v>2</v>
      </c>
      <c r="F34" s="15">
        <f>IFERROR(__xludf.DUMMYFUNCTION("""COMPUTED_VALUE"""),2.0)</f>
        <v>2</v>
      </c>
    </row>
    <row r="35">
      <c r="A35" s="15">
        <f>IFERROR(__xludf.DUMMYFUNCTION("""COMPUTED_VALUE"""),63.0)</f>
        <v>63</v>
      </c>
      <c r="B35" s="15" t="str">
        <f>IFERROR(__xludf.DUMMYFUNCTION("""COMPUTED_VALUE"""),"Vendor")</f>
        <v>Vendor</v>
      </c>
      <c r="C35" s="15" t="str">
        <f>IFERROR(__xludf.DUMMYFUNCTION("""COMPUTED_VALUE"""),"receive an email notification if my request to apply to join a bazaar or apply for a booth has been accepted/rejected")</f>
        <v>receive an email notification if my request to apply to join a bazaar or apply for a booth has been accepted/rejected</v>
      </c>
      <c r="D35" s="15"/>
      <c r="E35" s="15">
        <f>IFERROR(__xludf.DUMMYFUNCTION("""COMPUTED_VALUE"""),2.0)</f>
        <v>2</v>
      </c>
      <c r="F35" s="15">
        <f>IFERROR(__xludf.DUMMYFUNCTION("""COMPUTED_VALUE"""),2.0)</f>
        <v>2</v>
      </c>
    </row>
    <row r="36">
      <c r="A36" s="15">
        <f>IFERROR(__xludf.DUMMYFUNCTION("""COMPUTED_VALUE"""),64.0)</f>
        <v>64</v>
      </c>
      <c r="B36" s="15" t="str">
        <f>IFERROR(__xludf.DUMMYFUNCTION("""COMPUTED_VALUE"""),"Vendor")</f>
        <v>Vendor</v>
      </c>
      <c r="C36" s="15" t="str">
        <f>IFERROR(__xludf.DUMMYFUNCTION("""COMPUTED_VALUE"""),"pay participation fees for bazaar/booth upon acceptance of the request")</f>
        <v>pay participation fees for bazaar/booth upon acceptance of the request</v>
      </c>
      <c r="D36" s="15" t="str">
        <f>IFERROR(__xludf.DUMMYFUNCTION("""COMPUTED_VALUE"""),"for booth: based on duration and location, for bazaar, based on location and booth size. Deadline for payment for vendor must be 3 days after receiving the acceptance email")</f>
        <v>for booth: based on duration and location, for bazaar, based on location and booth size. Deadline for payment for vendor must be 3 days after receiving the acceptance email</v>
      </c>
      <c r="E36" s="15">
        <f>IFERROR(__xludf.DUMMYFUNCTION("""COMPUTED_VALUE"""),2.0)</f>
        <v>2</v>
      </c>
      <c r="F36" s="15">
        <f>IFERROR(__xludf.DUMMYFUNCTION("""COMPUTED_VALUE"""),2.0)</f>
        <v>2</v>
      </c>
    </row>
    <row r="37">
      <c r="A37" s="15">
        <f>IFERROR(__xludf.DUMMYFUNCTION("""COMPUTED_VALUE"""),65.0)</f>
        <v>65</v>
      </c>
      <c r="B37" s="15" t="str">
        <f>IFERROR(__xludf.DUMMYFUNCTION("""COMPUTED_VALUE"""),"Vendor")</f>
        <v>Vendor</v>
      </c>
      <c r="C37" s="15" t="str">
        <f>IFERROR(__xludf.DUMMYFUNCTION("""COMPUTED_VALUE"""),"receive a payment receipt via email upon paying")</f>
        <v>receive a payment receipt via email upon paying</v>
      </c>
      <c r="D37" s="15"/>
      <c r="E37" s="15">
        <f>IFERROR(__xludf.DUMMYFUNCTION("""COMPUTED_VALUE"""),2.0)</f>
        <v>2</v>
      </c>
      <c r="F37" s="15">
        <f>IFERROR(__xludf.DUMMYFUNCTION("""COMPUTED_VALUE"""),2.0)</f>
        <v>2</v>
      </c>
    </row>
    <row r="38">
      <c r="A38" s="15">
        <f>IFERROR(__xludf.DUMMYFUNCTION("""COMPUTED_VALUE"""),66.0)</f>
        <v>66</v>
      </c>
      <c r="B38" s="15" t="str">
        <f>IFERROR(__xludf.DUMMYFUNCTION("""COMPUTED_VALUE"""),"Vendor")</f>
        <v>Vendor</v>
      </c>
      <c r="C38" s="15" t="str">
        <f>IFERROR(__xludf.DUMMYFUNCTION("""COMPUTED_VALUE"""),"receive QR code for all registered visitors coming to the bazaar/booth via email")</f>
        <v>receive QR code for all registered visitors coming to the bazaar/booth via email</v>
      </c>
      <c r="D38" s="15"/>
      <c r="E38" s="15">
        <f>IFERROR(__xludf.DUMMYFUNCTION("""COMPUTED_VALUE"""),2.0)</f>
        <v>2</v>
      </c>
      <c r="F38" s="15">
        <f>IFERROR(__xludf.DUMMYFUNCTION("""COMPUTED_VALUE"""),2.0)</f>
        <v>2</v>
      </c>
    </row>
    <row r="39">
      <c r="A39" s="15">
        <f>IFERROR(__xludf.DUMMYFUNCTION("""COMPUTED_VALUE"""),67.0)</f>
        <v>67</v>
      </c>
      <c r="B39" s="15" t="str">
        <f>IFERROR(__xludf.DUMMYFUNCTION("""COMPUTED_VALUE"""),"Vendor")</f>
        <v>Vendor</v>
      </c>
      <c r="C39" s="15" t="str">
        <f>IFERROR(__xludf.DUMMYFUNCTION("""COMPUTED_VALUE"""),"cancel my participation request")</f>
        <v>cancel my participation request</v>
      </c>
      <c r="D39" s="15" t="str">
        <f>IFERROR(__xludf.DUMMYFUNCTION("""COMPUTED_VALUE"""),"this can only happen if the vendor has not paid yet")</f>
        <v>this can only happen if the vendor has not paid yet</v>
      </c>
      <c r="E39" s="15">
        <f>IFERROR(__xludf.DUMMYFUNCTION("""COMPUTED_VALUE"""),2.0)</f>
        <v>2</v>
      </c>
      <c r="F39" s="15">
        <f>IFERROR(__xludf.DUMMYFUNCTION("""COMPUTED_VALUE"""),2.0)</f>
        <v>2</v>
      </c>
    </row>
    <row r="40">
      <c r="A40" s="15">
        <f>IFERROR(__xludf.DUMMYFUNCTION("""COMPUTED_VALUE"""),70.0)</f>
        <v>70</v>
      </c>
      <c r="B40" s="15" t="str">
        <f>IFERROR(__xludf.DUMMYFUNCTION("""COMPUTED_VALUE"""),"Vendor")</f>
        <v>Vendor</v>
      </c>
      <c r="C40" s="15" t="str">
        <f>IFERROR(__xludf.DUMMYFUNCTION("""COMPUTED_VALUE"""),"apply to participate in GUC loyalty program by filling form that includes discount rate,promo code, terms and conditions")</f>
        <v>apply to participate in GUC loyalty program by filling form that includes discount rate,promo code, terms and conditions</v>
      </c>
      <c r="D40" s="15"/>
      <c r="E40" s="15">
        <f>IFERROR(__xludf.DUMMYFUNCTION("""COMPUTED_VALUE"""),2.0)</f>
        <v>2</v>
      </c>
      <c r="F40" s="15">
        <f>IFERROR(__xludf.DUMMYFUNCTION("""COMPUTED_VALUE"""),2.0)</f>
        <v>2</v>
      </c>
    </row>
    <row r="41">
      <c r="A41" s="15">
        <f>IFERROR(__xludf.DUMMYFUNCTION("""COMPUTED_VALUE"""),71.0)</f>
        <v>71</v>
      </c>
      <c r="B41" s="15" t="str">
        <f>IFERROR(__xludf.DUMMYFUNCTION("""COMPUTED_VALUE"""),"Vendor")</f>
        <v>Vendor</v>
      </c>
      <c r="C41" s="15" t="str">
        <f>IFERROR(__xludf.DUMMYFUNCTION("""COMPUTED_VALUE"""),"cancel my participation in GUC loyalty program")</f>
        <v>cancel my participation in GUC loyalty program</v>
      </c>
      <c r="D41" s="15"/>
      <c r="E41" s="15">
        <f>IFERROR(__xludf.DUMMYFUNCTION("""COMPUTED_VALUE"""),2.0)</f>
        <v>2</v>
      </c>
      <c r="F41" s="15">
        <f>IFERROR(__xludf.DUMMYFUNCTION("""COMPUTED_VALUE"""),2.0)</f>
        <v>2</v>
      </c>
    </row>
    <row r="42">
      <c r="A42" s="15">
        <f>IFERROR(__xludf.DUMMYFUNCTION("""COMPUTED_VALUE"""),72.0)</f>
        <v>72</v>
      </c>
      <c r="B42" s="15" t="str">
        <f>IFERROR(__xludf.DUMMYFUNCTION("""COMPUTED_VALUE"""),"Student/Staff/TA/Professor/ Events Office/Admin")</f>
        <v>Student/Staff/TA/Professor/ Events Office/Admin</v>
      </c>
      <c r="C42" s="15" t="str">
        <f>IFERROR(__xludf.DUMMYFUNCTION("""COMPUTED_VALUE"""),"view a list of all vendors that are partners in GUC loyalty program along with discount rates,promo code, terms and conditions")</f>
        <v>view a list of all vendors that are partners in GUC loyalty program along with discount rates,promo code, terms and conditions</v>
      </c>
      <c r="D42" s="15"/>
      <c r="E42" s="15">
        <f>IFERROR(__xludf.DUMMYFUNCTION("""COMPUTED_VALUE"""),4.0)</f>
        <v>4</v>
      </c>
      <c r="F42" s="15">
        <f>IFERROR(__xludf.DUMMYFUNCTION("""COMPUTED_VALUE"""),2.0)</f>
        <v>2</v>
      </c>
    </row>
    <row r="43">
      <c r="A43" s="15">
        <f>IFERROR(__xludf.DUMMYFUNCTION("""COMPUTED_VALUE"""),73.0)</f>
        <v>73</v>
      </c>
      <c r="B43" s="15" t="str">
        <f>IFERROR(__xludf.DUMMYFUNCTION("""COMPUTED_VALUE"""),"Student/Staff/TA/Professor")</f>
        <v>Student/Staff/TA/Professor</v>
      </c>
      <c r="C43" s="15" t="str">
        <f>IFERROR(__xludf.DUMMYFUNCTION("""COMPUTED_VALUE"""),"receive notifications on the system for newly added partners in GUC loyalty program ")</f>
        <v>receive notifications on the system for newly added partners in GUC loyalty program </v>
      </c>
      <c r="D43" s="15"/>
      <c r="E43" s="15">
        <f>IFERROR(__xludf.DUMMYFUNCTION("""COMPUTED_VALUE"""),4.0)</f>
        <v>4</v>
      </c>
      <c r="F43" s="15">
        <f>IFERROR(__xludf.DUMMYFUNCTION("""COMPUTED_VALUE"""),2.0)</f>
        <v>2</v>
      </c>
    </row>
    <row r="44">
      <c r="A44" s="15">
        <f>IFERROR(__xludf.DUMMYFUNCTION("""COMPUTED_VALUE"""),74.0)</f>
        <v>74</v>
      </c>
      <c r="B44" s="15" t="str">
        <f>IFERROR(__xludf.DUMMYFUNCTION("""COMPUTED_VALUE"""),"Events Office/Admin")</f>
        <v>Events Office/Admin</v>
      </c>
      <c r="C44" s="15" t="str">
        <f>IFERROR(__xludf.DUMMYFUNCTION("""COMPUTED_VALUE"""),"receive notifications on the system for pending vendor requests")</f>
        <v>receive notifications on the system for pending vendor requests</v>
      </c>
      <c r="D44" s="15"/>
      <c r="E44" s="15">
        <f>IFERROR(__xludf.DUMMYFUNCTION("""COMPUTED_VALUE"""),2.0)</f>
        <v>2</v>
      </c>
      <c r="F44" s="15">
        <f>IFERROR(__xludf.DUMMYFUNCTION("""COMPUTED_VALUE"""),2.0)</f>
        <v>2</v>
      </c>
    </row>
    <row r="45">
      <c r="A45" s="15">
        <f>IFERROR(__xludf.DUMMYFUNCTION("""COMPUTED_VALUE"""),76.0)</f>
        <v>76</v>
      </c>
      <c r="B45" s="15" t="str">
        <f>IFERROR(__xludf.DUMMYFUNCTION("""COMPUTED_VALUE"""),"Events Office/Admin")</f>
        <v>Events Office/Admin</v>
      </c>
      <c r="C45" s="15" t="str">
        <f>IFERROR(__xludf.DUMMYFUNCTION("""COMPUTED_VALUE"""),"view/ download uploaded documents")</f>
        <v>view/ download uploaded documents</v>
      </c>
      <c r="D45" s="15"/>
      <c r="E45" s="15">
        <f>IFERROR(__xludf.DUMMYFUNCTION("""COMPUTED_VALUE"""),2.0)</f>
        <v>2</v>
      </c>
      <c r="F45" s="15">
        <f>IFERROR(__xludf.DUMMYFUNCTION("""COMPUTED_VALUE"""),2.0)</f>
        <v>2</v>
      </c>
    </row>
    <row r="46">
      <c r="A46" s="15">
        <f>IFERROR(__xludf.DUMMYFUNCTION("""COMPUTED_VALUE"""),79.0)</f>
        <v>79</v>
      </c>
      <c r="B46" s="15" t="str">
        <f>IFERROR(__xludf.DUMMYFUNCTION("""COMPUTED_VALUE"""),"Student")</f>
        <v>Student</v>
      </c>
      <c r="C46" s="15" t="str">
        <f>IFERROR(__xludf.DUMMYFUNCTION("""COMPUTED_VALUE"""),"reserve a court (basketball/ tennis/ football) by choosing from the free dates and times")</f>
        <v>reserve a court (basketball/ tennis/ football) by choosing from the free dates and times</v>
      </c>
      <c r="D46" s="15" t="str">
        <f>IFERROR(__xludf.DUMMYFUNCTION("""COMPUTED_VALUE"""),"reservation should automatially include the student's name and GUC ID number")</f>
        <v>reservation should automatially include the student's name and GUC ID number</v>
      </c>
      <c r="E46" s="15">
        <f>IFERROR(__xludf.DUMMYFUNCTION("""COMPUTED_VALUE"""),2.0)</f>
        <v>2</v>
      </c>
      <c r="F46" s="15">
        <f>IFERROR(__xludf.DUMMYFUNCTION("""COMPUTED_VALUE"""),2.0)</f>
        <v>2</v>
      </c>
    </row>
    <row r="47">
      <c r="A47" s="15">
        <f>IFERROR(__xludf.DUMMYFUNCTION("""COMPUTED_VALUE"""),81.0)</f>
        <v>81</v>
      </c>
      <c r="B47" s="15" t="str">
        <f>IFERROR(__xludf.DUMMYFUNCTION("""COMPUTED_VALUE"""),"Student/Staff/TA/Professor")</f>
        <v>Student/Staff/TA/Professor</v>
      </c>
      <c r="C47" s="15" t="str">
        <f>IFERROR(__xludf.DUMMYFUNCTION("""COMPUTED_VALUE"""),"register to attend a session")</f>
        <v>register to attend a session</v>
      </c>
      <c r="D47" s="15"/>
      <c r="E47" s="15">
        <f>IFERROR(__xludf.DUMMYFUNCTION("""COMPUTED_VALUE"""),4.0)</f>
        <v>4</v>
      </c>
      <c r="F47" s="15">
        <f>IFERROR(__xludf.DUMMYFUNCTION("""COMPUTED_VALUE"""),2.0)</f>
        <v>2</v>
      </c>
    </row>
    <row r="48">
      <c r="A48" s="15">
        <f>IFERROR(__xludf.DUMMYFUNCTION("""COMPUTED_VALUE"""),82.0)</f>
        <v>82</v>
      </c>
      <c r="B48" s="15" t="str">
        <f>IFERROR(__xludf.DUMMYFUNCTION("""COMPUTED_VALUE"""),"Events Office")</f>
        <v>Events Office</v>
      </c>
      <c r="C48" s="15" t="str">
        <f>IFERROR(__xludf.DUMMYFUNCTION("""COMPUTED_VALUE"""),"create a poll with different vendors requesting to set up booths in the platform during the same durations")</f>
        <v>create a poll with different vendors requesting to set up booths in the platform during the same durations</v>
      </c>
      <c r="D48" s="15"/>
      <c r="E48" s="15">
        <f>IFERROR(__xludf.DUMMYFUNCTION("""COMPUTED_VALUE"""),2.0)</f>
        <v>2</v>
      </c>
      <c r="F48" s="15">
        <f>IFERROR(__xludf.DUMMYFUNCTION("""COMPUTED_VALUE"""),2.0)</f>
        <v>2</v>
      </c>
    </row>
    <row r="49">
      <c r="A49" s="15">
        <f>IFERROR(__xludf.DUMMYFUNCTION("""COMPUTED_VALUE"""),83.0)</f>
        <v>83</v>
      </c>
      <c r="B49" s="15" t="str">
        <f>IFERROR(__xludf.DUMMYFUNCTION("""COMPUTED_VALUE"""),"Student/Staff/TA/Professor")</f>
        <v>Student/Staff/TA/Professor</v>
      </c>
      <c r="C49" s="15" t="str">
        <f>IFERROR(__xludf.DUMMYFUNCTION("""COMPUTED_VALUE"""),"vote for a vendor to come and set up a booth in the platform based on the poll")</f>
        <v>vote for a vendor to come and set up a booth in the platform based on the poll</v>
      </c>
      <c r="D49" s="15"/>
      <c r="E49" s="15">
        <f>IFERROR(__xludf.DUMMYFUNCTION("""COMPUTED_VALUE"""),4.0)</f>
        <v>4</v>
      </c>
      <c r="F49" s="15">
        <f>IFERROR(__xludf.DUMMYFUNCTION("""COMPUTED_VALUE"""),2.0)</f>
        <v>2</v>
      </c>
    </row>
    <row r="50">
      <c r="A50" s="15">
        <f>IFERROR(__xludf.DUMMYFUNCTION("""COMPUTED_VALUE"""),85.0)</f>
        <v>85</v>
      </c>
      <c r="B50" s="15" t="str">
        <f>IFERROR(__xludf.DUMMYFUNCTION("""COMPUTED_VALUE"""),"Events Office")</f>
        <v>Events Office</v>
      </c>
      <c r="C50" s="15" t="str">
        <f>IFERROR(__xludf.DUMMYFUNCTION("""COMPUTED_VALUE"""),"cancel a gym session")</f>
        <v>cancel a gym session</v>
      </c>
      <c r="D50" s="15"/>
      <c r="E50" s="15">
        <f>IFERROR(__xludf.DUMMYFUNCTION("""COMPUTED_VALUE"""),2.0)</f>
        <v>2</v>
      </c>
      <c r="F50" s="15">
        <f>IFERROR(__xludf.DUMMYFUNCTION("""COMPUTED_VALUE"""),2.0)</f>
        <v>2</v>
      </c>
    </row>
    <row r="51">
      <c r="A51" s="15">
        <f>IFERROR(__xludf.DUMMYFUNCTION("""COMPUTED_VALUE"""),86.0)</f>
        <v>86</v>
      </c>
      <c r="B51" s="15" t="str">
        <f>IFERROR(__xludf.DUMMYFUNCTION("""COMPUTED_VALUE"""),"Events Office")</f>
        <v>Events Office</v>
      </c>
      <c r="C51" s="15" t="str">
        <f>IFERROR(__xludf.DUMMYFUNCTION("""COMPUTED_VALUE"""),"edit a gym session")</f>
        <v>edit a gym session</v>
      </c>
      <c r="D51" s="15" t="str">
        <f>IFERROR(__xludf.DUMMYFUNCTION("""COMPUTED_VALUE"""),"date, time, duration only can be edited")</f>
        <v>date, time, duration only can be edited</v>
      </c>
      <c r="E51" s="15">
        <f>IFERROR(__xludf.DUMMYFUNCTION("""COMPUTED_VALUE"""),2.0)</f>
        <v>2</v>
      </c>
      <c r="F51" s="15">
        <f>IFERROR(__xludf.DUMMYFUNCTION("""COMPUTED_VALUE"""),2.0)</f>
        <v>2</v>
      </c>
    </row>
    <row r="52">
      <c r="A52" s="15">
        <f>IFERROR(__xludf.DUMMYFUNCTION("""COMPUTED_VALUE"""),87.0)</f>
        <v>87</v>
      </c>
      <c r="B52" s="15" t="str">
        <f>IFERROR(__xludf.DUMMYFUNCTION("""COMPUTED_VALUE"""),"Student/Staff/TA/Professor")</f>
        <v>Student/Staff/TA/Professor</v>
      </c>
      <c r="C52" s="15" t="str">
        <f>IFERROR(__xludf.DUMMYFUNCTION("""COMPUTED_VALUE"""),"receive an email notification if a gym session I registered to attend was cancelled or edited")</f>
        <v>receive an email notification if a gym session I registered to attend was cancelled or edited</v>
      </c>
      <c r="D52" s="15"/>
      <c r="E52" s="15">
        <f>IFERROR(__xludf.DUMMYFUNCTION("""COMPUTED_VALUE"""),4.0)</f>
        <v>4</v>
      </c>
      <c r="F52" s="15">
        <f>IFERROR(__xludf.DUMMYFUNCTION("""COMPUTED_VALUE"""),2.0)</f>
        <v>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4"/>
    <col customWidth="1" min="2" max="2" width="55.29"/>
    <col customWidth="1" min="3" max="3" width="12.43"/>
    <col customWidth="1" min="4" max="4" width="14.43"/>
    <col customWidth="1" min="5" max="5" width="123.71"/>
    <col customWidth="1" min="6" max="6" width="14.43"/>
  </cols>
  <sheetData>
    <row r="1">
      <c r="A1" s="16"/>
      <c r="B1" s="17" t="s">
        <v>135</v>
      </c>
      <c r="F1" s="18"/>
    </row>
    <row r="2">
      <c r="A2" s="19"/>
      <c r="B2" s="20" t="s">
        <v>136</v>
      </c>
      <c r="C2" s="20" t="s">
        <v>137</v>
      </c>
      <c r="D2" s="20" t="s">
        <v>138</v>
      </c>
      <c r="E2" s="20" t="s">
        <v>139</v>
      </c>
      <c r="F2" s="19"/>
    </row>
    <row r="3">
      <c r="A3" s="21">
        <v>1.0</v>
      </c>
      <c r="B3" s="12" t="s">
        <v>140</v>
      </c>
      <c r="C3" s="22">
        <v>3.0</v>
      </c>
      <c r="D3" s="22">
        <v>20.0</v>
      </c>
      <c r="E3" s="23" t="s">
        <v>141</v>
      </c>
      <c r="F3" s="18"/>
    </row>
    <row r="4">
      <c r="A4" s="21">
        <v>2.0</v>
      </c>
      <c r="B4" s="12" t="s">
        <v>142</v>
      </c>
      <c r="C4" s="22">
        <v>3.0</v>
      </c>
      <c r="D4" s="22">
        <v>5.0</v>
      </c>
      <c r="E4" s="18"/>
      <c r="F4" s="18"/>
    </row>
    <row r="5">
      <c r="A5" s="21">
        <v>3.0</v>
      </c>
      <c r="B5" s="12" t="s">
        <v>143</v>
      </c>
      <c r="C5" s="22">
        <v>3.0</v>
      </c>
      <c r="D5" s="22">
        <v>5.0</v>
      </c>
      <c r="E5" s="24" t="s">
        <v>144</v>
      </c>
      <c r="F5" s="18"/>
    </row>
    <row r="6">
      <c r="A6" s="21">
        <v>4.0</v>
      </c>
      <c r="B6" s="12" t="s">
        <v>145</v>
      </c>
      <c r="C6" s="22">
        <v>3.0</v>
      </c>
      <c r="D6" s="22">
        <v>5.0</v>
      </c>
      <c r="E6" s="18"/>
      <c r="F6" s="18"/>
    </row>
    <row r="7">
      <c r="A7" s="21">
        <v>5.0</v>
      </c>
      <c r="B7" s="12" t="s">
        <v>146</v>
      </c>
      <c r="C7" s="22">
        <v>3.0</v>
      </c>
      <c r="D7" s="22">
        <v>5.0</v>
      </c>
      <c r="E7" s="18"/>
      <c r="F7" s="18"/>
    </row>
    <row r="8">
      <c r="A8" s="21">
        <v>6.0</v>
      </c>
      <c r="B8" s="12" t="s">
        <v>147</v>
      </c>
      <c r="C8" s="22">
        <v>3.0</v>
      </c>
      <c r="D8" s="22">
        <v>5.0</v>
      </c>
      <c r="E8" s="18"/>
      <c r="F8" s="18"/>
    </row>
    <row r="9">
      <c r="A9" s="21">
        <v>7.0</v>
      </c>
      <c r="B9" s="12" t="s">
        <v>148</v>
      </c>
      <c r="C9" s="22">
        <v>3.0</v>
      </c>
      <c r="D9" s="22">
        <v>10.0</v>
      </c>
      <c r="E9" s="18"/>
      <c r="F9" s="18"/>
    </row>
    <row r="10">
      <c r="A10" s="21">
        <v>8.0</v>
      </c>
      <c r="B10" s="12" t="s">
        <v>149</v>
      </c>
      <c r="C10" s="22">
        <v>3.0</v>
      </c>
      <c r="D10" s="22">
        <v>5.0</v>
      </c>
      <c r="E10" s="18"/>
      <c r="F10" s="18"/>
    </row>
    <row r="11">
      <c r="A11" s="18"/>
      <c r="B11" s="18"/>
      <c r="C11" s="18"/>
      <c r="D11" s="25">
        <v>60.0</v>
      </c>
      <c r="E11" s="18"/>
      <c r="F11" s="18"/>
    </row>
    <row r="12">
      <c r="A12" s="18"/>
      <c r="B12" s="18"/>
      <c r="C12" s="18"/>
      <c r="D12" s="18"/>
      <c r="E12" s="18"/>
      <c r="F12" s="18"/>
    </row>
    <row r="13">
      <c r="A13" s="19"/>
      <c r="B13" s="20" t="s">
        <v>150</v>
      </c>
      <c r="C13" s="20" t="s">
        <v>137</v>
      </c>
      <c r="D13" s="20" t="s">
        <v>138</v>
      </c>
      <c r="E13" s="20" t="s">
        <v>139</v>
      </c>
      <c r="F13" s="19"/>
    </row>
    <row r="14">
      <c r="A14" s="21">
        <v>1.0</v>
      </c>
      <c r="B14" s="12" t="s">
        <v>151</v>
      </c>
      <c r="C14" s="22">
        <v>3.0</v>
      </c>
      <c r="D14" s="22">
        <v>10.0</v>
      </c>
      <c r="E14" s="23" t="s">
        <v>152</v>
      </c>
      <c r="F14" s="18"/>
    </row>
    <row r="15">
      <c r="A15" s="21">
        <v>2.0</v>
      </c>
      <c r="B15" s="12" t="s">
        <v>153</v>
      </c>
      <c r="C15" s="22">
        <v>3.0</v>
      </c>
      <c r="D15" s="22">
        <v>10.0</v>
      </c>
      <c r="E15" s="18"/>
      <c r="F15" s="18"/>
    </row>
    <row r="16">
      <c r="A16" s="18"/>
      <c r="B16" s="18"/>
      <c r="C16" s="18"/>
      <c r="D16" s="25">
        <v>20.0</v>
      </c>
      <c r="E16" s="18"/>
      <c r="F16" s="18"/>
    </row>
    <row r="17">
      <c r="A17" s="18"/>
      <c r="B17" s="18"/>
      <c r="C17" s="18"/>
      <c r="D17" s="18"/>
      <c r="E17" s="18"/>
      <c r="F17" s="18"/>
    </row>
    <row r="18">
      <c r="A18" s="18"/>
      <c r="B18" s="18"/>
      <c r="C18" s="18"/>
      <c r="D18" s="18"/>
      <c r="E18" s="18"/>
      <c r="F18" s="18"/>
    </row>
    <row r="19">
      <c r="A19" s="18"/>
      <c r="B19" s="18"/>
      <c r="C19" s="18"/>
      <c r="D19" s="18"/>
      <c r="E19" s="18"/>
      <c r="F19" s="18"/>
    </row>
    <row r="20">
      <c r="A20" s="18"/>
      <c r="B20" s="24" t="s">
        <v>154</v>
      </c>
      <c r="C20" s="26">
        <v>3.0</v>
      </c>
      <c r="D20" s="25">
        <v>20.0</v>
      </c>
      <c r="E20" s="27" t="s">
        <v>155</v>
      </c>
      <c r="F20" s="18"/>
    </row>
    <row r="21" ht="15.75" customHeight="1">
      <c r="A21" s="18"/>
      <c r="B21" s="18"/>
      <c r="C21" s="18"/>
      <c r="D21" s="18"/>
      <c r="E21" s="18"/>
      <c r="F21" s="18"/>
    </row>
    <row r="22" ht="15.75" customHeight="1">
      <c r="A22" s="18"/>
      <c r="B22" s="18"/>
      <c r="C22" s="18"/>
      <c r="D22" s="18"/>
      <c r="E22" s="18"/>
      <c r="F22" s="18"/>
    </row>
    <row r="23" ht="15.75" customHeight="1">
      <c r="A23" s="18"/>
      <c r="B23" s="18"/>
      <c r="C23" s="18"/>
      <c r="D23" s="18"/>
      <c r="E23" s="18"/>
      <c r="F23" s="18"/>
    </row>
    <row r="24" ht="15.75" customHeight="1">
      <c r="A24" s="18"/>
      <c r="B24" s="28" t="s">
        <v>156</v>
      </c>
      <c r="C24" s="28"/>
      <c r="D24" s="25">
        <v>100.0</v>
      </c>
      <c r="E24" s="18"/>
      <c r="F24" s="18"/>
    </row>
    <row r="25" ht="15.75" customHeight="1">
      <c r="A25" s="18"/>
      <c r="B25" s="18"/>
      <c r="C25" s="18"/>
      <c r="D25" s="18"/>
      <c r="E25" s="18"/>
      <c r="F25" s="18"/>
    </row>
    <row r="26" ht="15.75" customHeight="1">
      <c r="A26" s="18"/>
      <c r="B26" s="18"/>
      <c r="C26" s="18"/>
      <c r="D26" s="18"/>
      <c r="E26" s="18"/>
      <c r="F26" s="18"/>
    </row>
    <row r="27" ht="15.75" customHeight="1">
      <c r="A27" s="18"/>
      <c r="B27" s="18"/>
      <c r="C27" s="18"/>
      <c r="D27" s="18"/>
      <c r="E27" s="18"/>
      <c r="F27" s="18"/>
    </row>
    <row r="28" ht="15.75" customHeight="1">
      <c r="A28" s="18"/>
      <c r="B28" s="18"/>
      <c r="C28" s="18"/>
      <c r="D28" s="18"/>
      <c r="E28" s="18"/>
      <c r="F28" s="18"/>
    </row>
    <row r="29" ht="15.75" customHeight="1">
      <c r="A29" s="18"/>
      <c r="B29" s="18"/>
      <c r="C29" s="18"/>
      <c r="D29" s="18"/>
      <c r="E29" s="18"/>
      <c r="F29" s="18"/>
    </row>
    <row r="30" ht="15.75" customHeight="1">
      <c r="A30" s="18"/>
      <c r="B30" s="18"/>
      <c r="C30" s="18"/>
      <c r="D30" s="18"/>
      <c r="E30" s="18"/>
      <c r="F30" s="18"/>
    </row>
    <row r="31" ht="15.75" customHeight="1">
      <c r="A31" s="18"/>
      <c r="B31" s="18"/>
      <c r="C31" s="18"/>
      <c r="D31" s="18"/>
      <c r="E31" s="18"/>
      <c r="F31" s="18"/>
    </row>
    <row r="32" ht="15.75" customHeight="1">
      <c r="A32" s="18"/>
      <c r="B32" s="18"/>
      <c r="C32" s="18"/>
      <c r="D32" s="18"/>
      <c r="E32" s="18"/>
      <c r="F32" s="18"/>
    </row>
    <row r="33" ht="15.75" customHeight="1">
      <c r="A33" s="18"/>
      <c r="B33" s="18"/>
      <c r="C33" s="18"/>
      <c r="D33" s="18"/>
      <c r="E33" s="18"/>
      <c r="F33" s="18"/>
    </row>
    <row r="34" ht="15.75" customHeight="1">
      <c r="A34" s="18"/>
      <c r="B34" s="18"/>
      <c r="C34" s="18"/>
      <c r="D34" s="18"/>
      <c r="E34" s="18"/>
      <c r="F34" s="18"/>
    </row>
    <row r="35" ht="15.75" customHeight="1">
      <c r="A35" s="18"/>
      <c r="B35" s="18"/>
      <c r="C35" s="18"/>
      <c r="D35" s="18"/>
      <c r="E35" s="18"/>
      <c r="F35" s="18"/>
    </row>
    <row r="36" ht="15.75" customHeight="1">
      <c r="A36" s="18"/>
      <c r="B36" s="18"/>
      <c r="C36" s="18"/>
      <c r="D36" s="18"/>
      <c r="E36" s="18"/>
      <c r="F36" s="18"/>
    </row>
    <row r="37" ht="15.75" customHeight="1">
      <c r="A37" s="18"/>
      <c r="B37" s="18"/>
      <c r="C37" s="18"/>
      <c r="D37" s="18"/>
      <c r="E37" s="18"/>
      <c r="F37" s="18"/>
    </row>
    <row r="38" ht="15.75" customHeight="1">
      <c r="A38" s="18"/>
      <c r="B38" s="18"/>
      <c r="C38" s="18"/>
      <c r="D38" s="18"/>
      <c r="E38" s="18"/>
      <c r="F38" s="18"/>
    </row>
    <row r="39" ht="15.75" customHeight="1">
      <c r="A39" s="18"/>
      <c r="B39" s="18"/>
      <c r="C39" s="18"/>
      <c r="D39" s="18"/>
      <c r="E39" s="18"/>
      <c r="F39" s="18"/>
    </row>
    <row r="40" ht="15.75" customHeight="1">
      <c r="A40" s="18"/>
      <c r="B40" s="18"/>
      <c r="C40" s="18"/>
      <c r="D40" s="18"/>
      <c r="E40" s="18"/>
      <c r="F40" s="18"/>
    </row>
    <row r="41" ht="15.75" customHeight="1">
      <c r="A41" s="18"/>
      <c r="B41" s="18"/>
      <c r="C41" s="18"/>
      <c r="D41" s="18"/>
      <c r="E41" s="18"/>
      <c r="F41" s="18"/>
    </row>
    <row r="42" ht="15.75" customHeight="1">
      <c r="A42" s="18"/>
      <c r="B42" s="18"/>
      <c r="C42" s="18"/>
      <c r="D42" s="18"/>
      <c r="E42" s="18"/>
      <c r="F42" s="18"/>
    </row>
    <row r="43" ht="15.75" customHeight="1">
      <c r="A43" s="18"/>
      <c r="B43" s="18"/>
      <c r="C43" s="18"/>
      <c r="D43" s="18"/>
      <c r="E43" s="18"/>
      <c r="F43" s="18"/>
    </row>
    <row r="44" ht="15.75" customHeight="1">
      <c r="A44" s="18"/>
      <c r="B44" s="18"/>
      <c r="C44" s="18"/>
      <c r="D44" s="18"/>
      <c r="E44" s="18"/>
      <c r="F44" s="18"/>
    </row>
    <row r="45" ht="15.75" customHeight="1">
      <c r="A45" s="18"/>
      <c r="B45" s="18"/>
      <c r="C45" s="18"/>
      <c r="D45" s="18"/>
      <c r="E45" s="18"/>
      <c r="F45" s="18"/>
    </row>
    <row r="46" ht="15.75" customHeight="1">
      <c r="A46" s="18"/>
      <c r="B46" s="18"/>
      <c r="C46" s="18"/>
      <c r="D46" s="18"/>
      <c r="E46" s="18"/>
      <c r="F46" s="18"/>
    </row>
    <row r="47" ht="15.75" customHeight="1">
      <c r="A47" s="18"/>
      <c r="B47" s="18"/>
      <c r="C47" s="18"/>
      <c r="D47" s="18"/>
      <c r="E47" s="18"/>
      <c r="F47" s="18"/>
    </row>
    <row r="48" ht="15.75" customHeight="1">
      <c r="A48" s="18"/>
      <c r="B48" s="18"/>
      <c r="C48" s="18"/>
      <c r="D48" s="18"/>
      <c r="E48" s="18"/>
      <c r="F48" s="18"/>
    </row>
    <row r="49" ht="15.75" customHeight="1">
      <c r="A49" s="18"/>
      <c r="B49" s="18"/>
      <c r="C49" s="18"/>
      <c r="D49" s="18"/>
      <c r="E49" s="18"/>
      <c r="F49" s="18"/>
    </row>
    <row r="50" ht="15.75" customHeight="1">
      <c r="A50" s="18"/>
      <c r="B50" s="18"/>
      <c r="C50" s="18"/>
      <c r="D50" s="18"/>
      <c r="E50" s="18"/>
      <c r="F50" s="18"/>
    </row>
    <row r="51" ht="15.75" customHeight="1">
      <c r="A51" s="18"/>
      <c r="B51" s="18"/>
      <c r="C51" s="18"/>
      <c r="D51" s="18"/>
      <c r="E51" s="18"/>
      <c r="F51" s="18"/>
    </row>
    <row r="52" ht="15.75" customHeight="1">
      <c r="A52" s="18"/>
      <c r="B52" s="18"/>
      <c r="C52" s="18"/>
      <c r="D52" s="18"/>
      <c r="E52" s="18"/>
      <c r="F52" s="18"/>
    </row>
    <row r="53" ht="15.75" customHeight="1">
      <c r="A53" s="18"/>
      <c r="B53" s="18"/>
      <c r="C53" s="18"/>
      <c r="D53" s="18"/>
      <c r="E53" s="18"/>
      <c r="F53" s="18"/>
    </row>
    <row r="54" ht="15.75" customHeight="1">
      <c r="A54" s="18"/>
      <c r="B54" s="18"/>
      <c r="C54" s="18"/>
      <c r="D54" s="18"/>
      <c r="E54" s="18"/>
      <c r="F54" s="18"/>
    </row>
    <row r="55" ht="15.75" customHeight="1">
      <c r="A55" s="18"/>
      <c r="B55" s="18"/>
      <c r="C55" s="18"/>
      <c r="D55" s="18"/>
      <c r="E55" s="18"/>
      <c r="F55" s="18"/>
    </row>
    <row r="56" ht="15.75" customHeight="1">
      <c r="A56" s="18"/>
      <c r="B56" s="18"/>
      <c r="C56" s="18"/>
      <c r="D56" s="18"/>
      <c r="E56" s="18"/>
      <c r="F56" s="18"/>
    </row>
    <row r="57" ht="15.75" customHeight="1">
      <c r="A57" s="18"/>
      <c r="B57" s="18"/>
      <c r="C57" s="18"/>
      <c r="D57" s="18"/>
      <c r="E57" s="18"/>
      <c r="F57" s="18"/>
    </row>
    <row r="58" ht="15.75" customHeight="1">
      <c r="A58" s="18"/>
      <c r="B58" s="18"/>
      <c r="C58" s="18"/>
      <c r="D58" s="18"/>
      <c r="E58" s="18"/>
      <c r="F58" s="18"/>
    </row>
    <row r="59" ht="15.75" customHeight="1">
      <c r="A59" s="18"/>
      <c r="B59" s="18"/>
      <c r="C59" s="18"/>
      <c r="D59" s="18"/>
      <c r="E59" s="18"/>
      <c r="F59" s="18"/>
    </row>
    <row r="60" ht="15.75" customHeight="1">
      <c r="A60" s="18"/>
      <c r="B60" s="18"/>
      <c r="C60" s="18"/>
      <c r="D60" s="18"/>
      <c r="E60" s="18"/>
      <c r="F60" s="18"/>
    </row>
    <row r="61" ht="15.75" customHeight="1">
      <c r="A61" s="18"/>
      <c r="B61" s="18"/>
      <c r="C61" s="18"/>
      <c r="D61" s="18"/>
      <c r="E61" s="18"/>
      <c r="F61" s="18"/>
    </row>
    <row r="62" ht="15.75" customHeight="1">
      <c r="A62" s="18"/>
      <c r="B62" s="18"/>
      <c r="C62" s="18"/>
      <c r="D62" s="18"/>
      <c r="E62" s="18"/>
      <c r="F62" s="18"/>
    </row>
    <row r="63" ht="15.75" customHeight="1">
      <c r="A63" s="18"/>
      <c r="B63" s="18"/>
      <c r="C63" s="18"/>
      <c r="D63" s="18"/>
      <c r="E63" s="18"/>
      <c r="F63" s="18"/>
    </row>
    <row r="64" ht="15.75" customHeight="1">
      <c r="A64" s="18"/>
      <c r="B64" s="18"/>
      <c r="C64" s="18"/>
      <c r="D64" s="18"/>
      <c r="E64" s="18"/>
      <c r="F64" s="18"/>
    </row>
    <row r="65" ht="15.75" customHeight="1">
      <c r="A65" s="18"/>
      <c r="B65" s="18"/>
      <c r="C65" s="18"/>
      <c r="D65" s="18"/>
      <c r="E65" s="18"/>
      <c r="F65" s="18"/>
    </row>
    <row r="66" ht="15.75" customHeight="1">
      <c r="A66" s="18"/>
      <c r="B66" s="18"/>
      <c r="C66" s="18"/>
      <c r="D66" s="18"/>
      <c r="E66" s="18"/>
      <c r="F66" s="18"/>
    </row>
    <row r="67" ht="15.75" customHeight="1">
      <c r="A67" s="18"/>
      <c r="B67" s="18"/>
      <c r="C67" s="18"/>
      <c r="D67" s="18"/>
      <c r="E67" s="18"/>
      <c r="F67" s="18"/>
    </row>
    <row r="68" ht="15.75" customHeight="1">
      <c r="A68" s="18"/>
      <c r="B68" s="18"/>
      <c r="C68" s="18"/>
      <c r="D68" s="18"/>
      <c r="E68" s="18"/>
      <c r="F68" s="18"/>
    </row>
    <row r="69" ht="15.75" customHeight="1">
      <c r="A69" s="18"/>
      <c r="B69" s="18"/>
      <c r="C69" s="18"/>
      <c r="D69" s="18"/>
      <c r="E69" s="18"/>
      <c r="F69" s="18"/>
    </row>
    <row r="70" ht="15.75" customHeight="1">
      <c r="A70" s="18"/>
      <c r="B70" s="18"/>
      <c r="C70" s="18"/>
      <c r="D70" s="18"/>
      <c r="E70" s="18"/>
      <c r="F70" s="18"/>
    </row>
    <row r="71" ht="15.75" customHeight="1">
      <c r="A71" s="18"/>
      <c r="B71" s="18"/>
      <c r="C71" s="18"/>
      <c r="D71" s="18"/>
      <c r="E71" s="18"/>
      <c r="F71" s="18"/>
    </row>
    <row r="72" ht="15.75" customHeight="1">
      <c r="A72" s="18"/>
      <c r="B72" s="18"/>
      <c r="C72" s="18"/>
      <c r="D72" s="18"/>
      <c r="E72" s="18"/>
      <c r="F72" s="18"/>
    </row>
    <row r="73" ht="15.75" customHeight="1">
      <c r="A73" s="18"/>
      <c r="B73" s="18"/>
      <c r="C73" s="18"/>
      <c r="D73" s="18"/>
      <c r="E73" s="18"/>
      <c r="F73" s="18"/>
    </row>
    <row r="74" ht="15.75" customHeight="1">
      <c r="A74" s="18"/>
      <c r="B74" s="18"/>
      <c r="C74" s="18"/>
      <c r="D74" s="18"/>
      <c r="E74" s="18"/>
      <c r="F74" s="18"/>
    </row>
    <row r="75" ht="15.75" customHeight="1">
      <c r="A75" s="18"/>
      <c r="B75" s="18"/>
      <c r="C75" s="18"/>
      <c r="D75" s="18"/>
      <c r="E75" s="18"/>
      <c r="F75" s="18"/>
    </row>
    <row r="76" ht="15.75" customHeight="1">
      <c r="A76" s="18"/>
      <c r="B76" s="18"/>
      <c r="C76" s="18"/>
      <c r="D76" s="18"/>
      <c r="E76" s="18"/>
      <c r="F76" s="18"/>
    </row>
    <row r="77" ht="15.75" customHeight="1">
      <c r="A77" s="18"/>
      <c r="B77" s="18"/>
      <c r="C77" s="18"/>
      <c r="D77" s="18"/>
      <c r="E77" s="18"/>
      <c r="F77" s="18"/>
    </row>
    <row r="78" ht="15.75" customHeight="1">
      <c r="A78" s="18"/>
      <c r="B78" s="18"/>
      <c r="C78" s="18"/>
      <c r="D78" s="18"/>
      <c r="E78" s="18"/>
      <c r="F78" s="18"/>
    </row>
    <row r="79" ht="15.75" customHeight="1">
      <c r="A79" s="18"/>
      <c r="B79" s="18"/>
      <c r="C79" s="18"/>
      <c r="D79" s="18"/>
      <c r="E79" s="18"/>
      <c r="F79" s="18"/>
    </row>
    <row r="80" ht="15.75" customHeight="1">
      <c r="A80" s="18"/>
      <c r="B80" s="18"/>
      <c r="C80" s="18"/>
      <c r="D80" s="18"/>
      <c r="E80" s="18"/>
      <c r="F80" s="18"/>
    </row>
    <row r="81" ht="15.75" customHeight="1">
      <c r="A81" s="18"/>
      <c r="B81" s="18"/>
      <c r="C81" s="18"/>
      <c r="D81" s="18"/>
      <c r="E81" s="18"/>
      <c r="F81" s="18"/>
    </row>
    <row r="82" ht="15.75" customHeight="1">
      <c r="A82" s="18"/>
      <c r="B82" s="18"/>
      <c r="C82" s="18"/>
      <c r="D82" s="18"/>
      <c r="E82" s="18"/>
      <c r="F82" s="18"/>
    </row>
    <row r="83" ht="15.75" customHeight="1">
      <c r="A83" s="18"/>
      <c r="B83" s="18"/>
      <c r="C83" s="18"/>
      <c r="D83" s="18"/>
      <c r="E83" s="18"/>
      <c r="F83" s="18"/>
    </row>
    <row r="84" ht="15.75" customHeight="1">
      <c r="A84" s="18"/>
      <c r="B84" s="18"/>
      <c r="C84" s="18"/>
      <c r="D84" s="18"/>
      <c r="E84" s="18"/>
      <c r="F84" s="18"/>
    </row>
    <row r="85" ht="15.75" customHeight="1">
      <c r="A85" s="18"/>
      <c r="B85" s="18"/>
      <c r="C85" s="18"/>
      <c r="D85" s="18"/>
      <c r="E85" s="18"/>
      <c r="F85" s="18"/>
    </row>
    <row r="86" ht="15.75" customHeight="1">
      <c r="A86" s="18"/>
      <c r="B86" s="18"/>
      <c r="C86" s="18"/>
      <c r="D86" s="18"/>
      <c r="E86" s="18"/>
      <c r="F86" s="18"/>
    </row>
    <row r="87" ht="15.75" customHeight="1">
      <c r="A87" s="18"/>
      <c r="B87" s="18"/>
      <c r="C87" s="18"/>
      <c r="D87" s="18"/>
      <c r="E87" s="18"/>
      <c r="F87" s="18"/>
    </row>
    <row r="88" ht="15.75" customHeight="1">
      <c r="A88" s="18"/>
      <c r="B88" s="18"/>
      <c r="C88" s="18"/>
      <c r="D88" s="18"/>
      <c r="E88" s="18"/>
      <c r="F88" s="18"/>
    </row>
    <row r="89" ht="15.75" customHeight="1">
      <c r="A89" s="18"/>
      <c r="B89" s="18"/>
      <c r="C89" s="18"/>
      <c r="D89" s="18"/>
      <c r="E89" s="18"/>
      <c r="F89" s="18"/>
    </row>
    <row r="90" ht="15.75" customHeight="1">
      <c r="A90" s="18"/>
      <c r="B90" s="18"/>
      <c r="C90" s="18"/>
      <c r="D90" s="18"/>
      <c r="E90" s="18"/>
      <c r="F90" s="18"/>
    </row>
    <row r="91" ht="15.75" customHeight="1">
      <c r="A91" s="18"/>
      <c r="B91" s="18"/>
      <c r="C91" s="18"/>
      <c r="D91" s="18"/>
      <c r="E91" s="18"/>
      <c r="F91" s="18"/>
    </row>
    <row r="92" ht="15.75" customHeight="1">
      <c r="A92" s="18"/>
      <c r="B92" s="18"/>
      <c r="C92" s="18"/>
      <c r="D92" s="18"/>
      <c r="E92" s="18"/>
      <c r="F92" s="18"/>
    </row>
    <row r="93" ht="15.75" customHeight="1">
      <c r="A93" s="18"/>
      <c r="B93" s="18"/>
      <c r="C93" s="18"/>
      <c r="D93" s="18"/>
      <c r="E93" s="18"/>
      <c r="F93" s="18"/>
    </row>
    <row r="94" ht="15.75" customHeight="1">
      <c r="A94" s="18"/>
      <c r="B94" s="18"/>
      <c r="C94" s="18"/>
      <c r="D94" s="18"/>
      <c r="E94" s="18"/>
      <c r="F94" s="18"/>
    </row>
    <row r="95" ht="15.75" customHeight="1">
      <c r="A95" s="18"/>
      <c r="B95" s="18"/>
      <c r="C95" s="18"/>
      <c r="D95" s="18"/>
      <c r="E95" s="18"/>
      <c r="F95" s="18"/>
    </row>
    <row r="96" ht="15.75" customHeight="1">
      <c r="A96" s="18"/>
      <c r="B96" s="18"/>
      <c r="C96" s="18"/>
      <c r="D96" s="18"/>
      <c r="E96" s="18"/>
      <c r="F96" s="18"/>
    </row>
    <row r="97" ht="15.75" customHeight="1">
      <c r="A97" s="18"/>
      <c r="B97" s="18"/>
      <c r="C97" s="18"/>
      <c r="D97" s="18"/>
      <c r="E97" s="18"/>
      <c r="F97" s="18"/>
    </row>
    <row r="98" ht="15.75" customHeight="1">
      <c r="A98" s="18"/>
      <c r="B98" s="18"/>
      <c r="C98" s="18"/>
      <c r="D98" s="18"/>
      <c r="E98" s="18"/>
      <c r="F98" s="18"/>
    </row>
    <row r="99" ht="15.75" customHeight="1">
      <c r="A99" s="18"/>
      <c r="B99" s="18"/>
      <c r="C99" s="18"/>
      <c r="D99" s="18"/>
      <c r="E99" s="18"/>
      <c r="F99" s="18"/>
    </row>
    <row r="100" ht="15.75" customHeight="1">
      <c r="A100" s="18"/>
      <c r="B100" s="18"/>
      <c r="C100" s="18"/>
      <c r="D100" s="18"/>
      <c r="E100" s="18"/>
      <c r="F100" s="18"/>
    </row>
    <row r="101" ht="15.75" customHeight="1">
      <c r="A101" s="18"/>
      <c r="B101" s="18"/>
      <c r="C101" s="18"/>
      <c r="D101" s="18"/>
      <c r="E101" s="18"/>
      <c r="F101" s="18"/>
    </row>
    <row r="102" ht="15.75" customHeight="1">
      <c r="A102" s="18"/>
      <c r="B102" s="18"/>
      <c r="C102" s="18"/>
      <c r="D102" s="18"/>
      <c r="E102" s="18"/>
      <c r="F102" s="18"/>
    </row>
    <row r="103" ht="15.75" customHeight="1">
      <c r="A103" s="18"/>
      <c r="B103" s="18"/>
      <c r="C103" s="18"/>
      <c r="D103" s="18"/>
      <c r="E103" s="18"/>
      <c r="F103" s="18"/>
    </row>
    <row r="104" ht="15.75" customHeight="1">
      <c r="A104" s="18"/>
      <c r="B104" s="18"/>
      <c r="C104" s="18"/>
      <c r="D104" s="18"/>
      <c r="E104" s="18"/>
      <c r="F104" s="18"/>
    </row>
    <row r="105" ht="15.75" customHeight="1">
      <c r="A105" s="18"/>
      <c r="B105" s="18"/>
      <c r="C105" s="18"/>
      <c r="D105" s="18"/>
      <c r="E105" s="18"/>
      <c r="F105" s="18"/>
    </row>
    <row r="106" ht="15.75" customHeight="1">
      <c r="A106" s="18"/>
      <c r="B106" s="18"/>
      <c r="C106" s="18"/>
      <c r="D106" s="18"/>
      <c r="E106" s="18"/>
      <c r="F106" s="18"/>
    </row>
    <row r="107" ht="15.75" customHeight="1">
      <c r="A107" s="18"/>
      <c r="B107" s="18"/>
      <c r="C107" s="18"/>
      <c r="D107" s="18"/>
      <c r="E107" s="18"/>
      <c r="F107" s="18"/>
    </row>
    <row r="108" ht="15.75" customHeight="1">
      <c r="A108" s="18"/>
      <c r="B108" s="18"/>
      <c r="C108" s="18"/>
      <c r="D108" s="18"/>
      <c r="E108" s="18"/>
      <c r="F108" s="18"/>
    </row>
    <row r="109" ht="15.75" customHeight="1">
      <c r="A109" s="18"/>
      <c r="B109" s="18"/>
      <c r="C109" s="18"/>
      <c r="D109" s="18"/>
      <c r="E109" s="18"/>
      <c r="F109" s="18"/>
    </row>
    <row r="110" ht="15.75" customHeight="1">
      <c r="A110" s="18"/>
      <c r="B110" s="18"/>
      <c r="C110" s="18"/>
      <c r="D110" s="18"/>
      <c r="E110" s="18"/>
      <c r="F110" s="18"/>
    </row>
    <row r="111" ht="15.75" customHeight="1">
      <c r="A111" s="18"/>
      <c r="B111" s="18"/>
      <c r="C111" s="18"/>
      <c r="D111" s="18"/>
      <c r="E111" s="18"/>
      <c r="F111" s="18"/>
    </row>
    <row r="112" ht="15.75" customHeight="1">
      <c r="A112" s="18"/>
      <c r="B112" s="18"/>
      <c r="C112" s="18"/>
      <c r="D112" s="18"/>
      <c r="E112" s="18"/>
      <c r="F112" s="18"/>
    </row>
    <row r="113" ht="15.75" customHeight="1">
      <c r="A113" s="18"/>
      <c r="B113" s="18"/>
      <c r="C113" s="18"/>
      <c r="D113" s="18"/>
      <c r="E113" s="18"/>
      <c r="F113" s="18"/>
    </row>
    <row r="114" ht="15.75" customHeight="1">
      <c r="A114" s="18"/>
      <c r="B114" s="18"/>
      <c r="C114" s="18"/>
      <c r="D114" s="18"/>
      <c r="E114" s="18"/>
      <c r="F114" s="18"/>
    </row>
    <row r="115" ht="15.75" customHeight="1">
      <c r="A115" s="18"/>
      <c r="B115" s="18"/>
      <c r="C115" s="18"/>
      <c r="D115" s="18"/>
      <c r="E115" s="18"/>
      <c r="F115" s="18"/>
    </row>
    <row r="116" ht="15.75" customHeight="1">
      <c r="A116" s="18"/>
      <c r="B116" s="18"/>
      <c r="C116" s="18"/>
      <c r="D116" s="18"/>
      <c r="E116" s="18"/>
      <c r="F116" s="18"/>
    </row>
    <row r="117" ht="15.75" customHeight="1">
      <c r="A117" s="18"/>
      <c r="B117" s="18"/>
      <c r="C117" s="18"/>
      <c r="D117" s="18"/>
      <c r="E117" s="18"/>
      <c r="F117" s="18"/>
    </row>
    <row r="118" ht="15.75" customHeight="1">
      <c r="A118" s="18"/>
      <c r="B118" s="18"/>
      <c r="C118" s="18"/>
      <c r="D118" s="18"/>
      <c r="E118" s="18"/>
      <c r="F118" s="18"/>
    </row>
    <row r="119" ht="15.75" customHeight="1">
      <c r="A119" s="18"/>
      <c r="B119" s="18"/>
      <c r="C119" s="18"/>
      <c r="D119" s="18"/>
      <c r="E119" s="18"/>
      <c r="F119" s="18"/>
    </row>
    <row r="120" ht="15.75" customHeight="1">
      <c r="A120" s="18"/>
      <c r="B120" s="18"/>
      <c r="C120" s="18"/>
      <c r="D120" s="18"/>
      <c r="E120" s="18"/>
      <c r="F120" s="18"/>
    </row>
    <row r="121" ht="15.75" customHeight="1">
      <c r="A121" s="18"/>
      <c r="B121" s="18"/>
      <c r="C121" s="18"/>
      <c r="D121" s="18"/>
      <c r="E121" s="18"/>
      <c r="F121" s="18"/>
    </row>
    <row r="122" ht="15.75" customHeight="1">
      <c r="A122" s="18"/>
      <c r="B122" s="18"/>
      <c r="C122" s="18"/>
      <c r="D122" s="18"/>
      <c r="E122" s="18"/>
      <c r="F122" s="18"/>
    </row>
    <row r="123" ht="15.75" customHeight="1">
      <c r="A123" s="18"/>
      <c r="B123" s="18"/>
      <c r="C123" s="18"/>
      <c r="D123" s="18"/>
      <c r="E123" s="18"/>
      <c r="F123" s="18"/>
    </row>
    <row r="124" ht="15.75" customHeight="1">
      <c r="A124" s="18"/>
      <c r="B124" s="18"/>
      <c r="C124" s="18"/>
      <c r="D124" s="18"/>
      <c r="E124" s="18"/>
      <c r="F124" s="18"/>
    </row>
    <row r="125" ht="15.75" customHeight="1">
      <c r="A125" s="18"/>
      <c r="B125" s="18"/>
      <c r="C125" s="18"/>
      <c r="D125" s="18"/>
      <c r="E125" s="18"/>
      <c r="F125" s="18"/>
    </row>
    <row r="126" ht="15.75" customHeight="1">
      <c r="A126" s="18"/>
      <c r="B126" s="18"/>
      <c r="C126" s="18"/>
      <c r="D126" s="18"/>
      <c r="E126" s="18"/>
      <c r="F126" s="18"/>
    </row>
    <row r="127" ht="15.75" customHeight="1">
      <c r="A127" s="18"/>
      <c r="B127" s="18"/>
      <c r="C127" s="18"/>
      <c r="D127" s="18"/>
      <c r="E127" s="18"/>
      <c r="F127" s="18"/>
    </row>
    <row r="128" ht="15.75" customHeight="1">
      <c r="A128" s="18"/>
      <c r="B128" s="18"/>
      <c r="C128" s="18"/>
      <c r="D128" s="18"/>
      <c r="E128" s="18"/>
      <c r="F128" s="18"/>
    </row>
    <row r="129" ht="15.75" customHeight="1">
      <c r="A129" s="18"/>
      <c r="B129" s="18"/>
      <c r="C129" s="18"/>
      <c r="D129" s="18"/>
      <c r="E129" s="18"/>
      <c r="F129" s="18"/>
    </row>
    <row r="130" ht="15.75" customHeight="1">
      <c r="A130" s="18"/>
      <c r="B130" s="18"/>
      <c r="C130" s="18"/>
      <c r="D130" s="18"/>
      <c r="E130" s="18"/>
      <c r="F130" s="18"/>
    </row>
    <row r="131" ht="15.75" customHeight="1">
      <c r="A131" s="18"/>
      <c r="B131" s="18"/>
      <c r="C131" s="18"/>
      <c r="D131" s="18"/>
      <c r="E131" s="18"/>
      <c r="F131" s="18"/>
    </row>
    <row r="132" ht="15.75" customHeight="1">
      <c r="A132" s="18"/>
      <c r="B132" s="18"/>
      <c r="C132" s="18"/>
      <c r="D132" s="18"/>
      <c r="E132" s="18"/>
      <c r="F132" s="18"/>
    </row>
    <row r="133" ht="15.75" customHeight="1">
      <c r="A133" s="18"/>
      <c r="B133" s="18"/>
      <c r="C133" s="18"/>
      <c r="D133" s="18"/>
      <c r="E133" s="18"/>
      <c r="F133" s="18"/>
    </row>
    <row r="134" ht="15.75" customHeight="1">
      <c r="A134" s="18"/>
      <c r="B134" s="18"/>
      <c r="C134" s="18"/>
      <c r="D134" s="18"/>
      <c r="E134" s="18"/>
      <c r="F134" s="18"/>
    </row>
    <row r="135" ht="15.75" customHeight="1">
      <c r="A135" s="18"/>
      <c r="B135" s="18"/>
      <c r="C135" s="18"/>
      <c r="D135" s="18"/>
      <c r="E135" s="18"/>
      <c r="F135" s="18"/>
    </row>
    <row r="136" ht="15.75" customHeight="1">
      <c r="A136" s="18"/>
      <c r="B136" s="18"/>
      <c r="C136" s="18"/>
      <c r="D136" s="18"/>
      <c r="E136" s="18"/>
      <c r="F136" s="18"/>
    </row>
    <row r="137" ht="15.75" customHeight="1">
      <c r="A137" s="18"/>
      <c r="B137" s="18"/>
      <c r="C137" s="18"/>
      <c r="D137" s="18"/>
      <c r="E137" s="18"/>
      <c r="F137" s="18"/>
    </row>
    <row r="138" ht="15.75" customHeight="1">
      <c r="A138" s="18"/>
      <c r="B138" s="18"/>
      <c r="C138" s="18"/>
      <c r="D138" s="18"/>
      <c r="E138" s="18"/>
      <c r="F138" s="18"/>
    </row>
    <row r="139" ht="15.75" customHeight="1">
      <c r="A139" s="18"/>
      <c r="B139" s="18"/>
      <c r="C139" s="18"/>
      <c r="D139" s="18"/>
      <c r="E139" s="18"/>
      <c r="F139" s="18"/>
    </row>
    <row r="140" ht="15.75" customHeight="1">
      <c r="A140" s="18"/>
      <c r="B140" s="18"/>
      <c r="C140" s="18"/>
      <c r="D140" s="18"/>
      <c r="E140" s="18"/>
      <c r="F140" s="18"/>
    </row>
    <row r="141" ht="15.75" customHeight="1">
      <c r="A141" s="18"/>
      <c r="B141" s="18"/>
      <c r="C141" s="18"/>
      <c r="D141" s="18"/>
      <c r="E141" s="18"/>
      <c r="F141" s="18"/>
    </row>
    <row r="142" ht="15.75" customHeight="1">
      <c r="A142" s="18"/>
      <c r="B142" s="18"/>
      <c r="C142" s="18"/>
      <c r="D142" s="18"/>
      <c r="E142" s="18"/>
      <c r="F142" s="18"/>
    </row>
    <row r="143" ht="15.75" customHeight="1">
      <c r="A143" s="18"/>
      <c r="B143" s="18"/>
      <c r="C143" s="18"/>
      <c r="D143" s="18"/>
      <c r="E143" s="18"/>
      <c r="F143" s="18"/>
    </row>
    <row r="144" ht="15.75" customHeight="1">
      <c r="A144" s="18"/>
      <c r="B144" s="18"/>
      <c r="C144" s="18"/>
      <c r="D144" s="18"/>
      <c r="E144" s="18"/>
      <c r="F144" s="18"/>
    </row>
    <row r="145" ht="15.75" customHeight="1">
      <c r="A145" s="18"/>
      <c r="B145" s="18"/>
      <c r="C145" s="18"/>
      <c r="D145" s="18"/>
      <c r="E145" s="18"/>
      <c r="F145" s="18"/>
    </row>
    <row r="146" ht="15.75" customHeight="1">
      <c r="A146" s="18"/>
      <c r="B146" s="18"/>
      <c r="C146" s="18"/>
      <c r="D146" s="18"/>
      <c r="E146" s="18"/>
      <c r="F146" s="18"/>
    </row>
    <row r="147" ht="15.75" customHeight="1">
      <c r="A147" s="18"/>
      <c r="B147" s="18"/>
      <c r="C147" s="18"/>
      <c r="D147" s="18"/>
      <c r="E147" s="18"/>
      <c r="F147" s="18"/>
    </row>
    <row r="148" ht="15.75" customHeight="1">
      <c r="A148" s="18"/>
      <c r="B148" s="18"/>
      <c r="C148" s="18"/>
      <c r="D148" s="18"/>
      <c r="E148" s="18"/>
      <c r="F148" s="18"/>
    </row>
    <row r="149" ht="15.75" customHeight="1">
      <c r="A149" s="18"/>
      <c r="B149" s="18"/>
      <c r="C149" s="18"/>
      <c r="D149" s="18"/>
      <c r="E149" s="18"/>
      <c r="F149" s="18"/>
    </row>
    <row r="150" ht="15.75" customHeight="1">
      <c r="A150" s="18"/>
      <c r="B150" s="18"/>
      <c r="C150" s="18"/>
      <c r="D150" s="18"/>
      <c r="E150" s="18"/>
      <c r="F150" s="18"/>
    </row>
    <row r="151" ht="15.75" customHeight="1">
      <c r="A151" s="18"/>
      <c r="B151" s="18"/>
      <c r="C151" s="18"/>
      <c r="D151" s="18"/>
      <c r="E151" s="18"/>
      <c r="F151" s="18"/>
    </row>
    <row r="152" ht="15.75" customHeight="1">
      <c r="A152" s="18"/>
      <c r="B152" s="18"/>
      <c r="C152" s="18"/>
      <c r="D152" s="18"/>
      <c r="E152" s="18"/>
      <c r="F152" s="18"/>
    </row>
    <row r="153" ht="15.75" customHeight="1">
      <c r="A153" s="18"/>
      <c r="B153" s="18"/>
      <c r="C153" s="18"/>
      <c r="D153" s="18"/>
      <c r="E153" s="18"/>
      <c r="F153" s="18"/>
    </row>
    <row r="154" ht="15.75" customHeight="1">
      <c r="A154" s="18"/>
      <c r="B154" s="18"/>
      <c r="C154" s="18"/>
      <c r="D154" s="18"/>
      <c r="E154" s="18"/>
      <c r="F154" s="18"/>
    </row>
    <row r="155" ht="15.75" customHeight="1">
      <c r="A155" s="18"/>
      <c r="B155" s="18"/>
      <c r="C155" s="18"/>
      <c r="D155" s="18"/>
      <c r="E155" s="18"/>
      <c r="F155" s="18"/>
    </row>
    <row r="156" ht="15.75" customHeight="1">
      <c r="A156" s="18"/>
      <c r="B156" s="18"/>
      <c r="C156" s="18"/>
      <c r="D156" s="18"/>
      <c r="E156" s="18"/>
      <c r="F156" s="18"/>
    </row>
    <row r="157" ht="15.75" customHeight="1">
      <c r="A157" s="18"/>
      <c r="B157" s="18"/>
      <c r="C157" s="18"/>
      <c r="D157" s="18"/>
      <c r="E157" s="18"/>
      <c r="F157" s="18"/>
    </row>
    <row r="158" ht="15.75" customHeight="1">
      <c r="A158" s="18"/>
      <c r="B158" s="18"/>
      <c r="C158" s="18"/>
      <c r="D158" s="18"/>
      <c r="E158" s="18"/>
      <c r="F158" s="18"/>
    </row>
    <row r="159" ht="15.75" customHeight="1">
      <c r="A159" s="18"/>
      <c r="B159" s="18"/>
      <c r="C159" s="18"/>
      <c r="D159" s="18"/>
      <c r="E159" s="18"/>
      <c r="F159" s="18"/>
    </row>
    <row r="160" ht="15.75" customHeight="1">
      <c r="A160" s="18"/>
      <c r="B160" s="18"/>
      <c r="C160" s="18"/>
      <c r="D160" s="18"/>
      <c r="E160" s="18"/>
      <c r="F160" s="18"/>
    </row>
    <row r="161" ht="15.75" customHeight="1">
      <c r="A161" s="18"/>
      <c r="B161" s="18"/>
      <c r="C161" s="18"/>
      <c r="D161" s="18"/>
      <c r="E161" s="18"/>
      <c r="F161" s="18"/>
    </row>
    <row r="162" ht="15.75" customHeight="1">
      <c r="A162" s="18"/>
      <c r="B162" s="18"/>
      <c r="C162" s="18"/>
      <c r="D162" s="18"/>
      <c r="E162" s="18"/>
      <c r="F162" s="18"/>
    </row>
    <row r="163" ht="15.75" customHeight="1">
      <c r="A163" s="18"/>
      <c r="B163" s="18"/>
      <c r="C163" s="18"/>
      <c r="D163" s="18"/>
      <c r="E163" s="18"/>
      <c r="F163" s="18"/>
    </row>
    <row r="164" ht="15.75" customHeight="1">
      <c r="A164" s="18"/>
      <c r="B164" s="18"/>
      <c r="C164" s="18"/>
      <c r="D164" s="18"/>
      <c r="E164" s="18"/>
      <c r="F164" s="18"/>
    </row>
    <row r="165" ht="15.75" customHeight="1">
      <c r="A165" s="18"/>
      <c r="B165" s="18"/>
      <c r="C165" s="18"/>
      <c r="D165" s="18"/>
      <c r="E165" s="18"/>
      <c r="F165" s="18"/>
    </row>
    <row r="166" ht="15.75" customHeight="1">
      <c r="A166" s="18"/>
      <c r="B166" s="18"/>
      <c r="C166" s="18"/>
      <c r="D166" s="18"/>
      <c r="E166" s="18"/>
      <c r="F166" s="18"/>
    </row>
    <row r="167" ht="15.75" customHeight="1">
      <c r="A167" s="18"/>
      <c r="B167" s="18"/>
      <c r="C167" s="18"/>
      <c r="D167" s="18"/>
      <c r="E167" s="18"/>
      <c r="F167" s="18"/>
    </row>
    <row r="168" ht="15.75" customHeight="1">
      <c r="A168" s="18"/>
      <c r="B168" s="18"/>
      <c r="C168" s="18"/>
      <c r="D168" s="18"/>
      <c r="E168" s="18"/>
      <c r="F168" s="18"/>
    </row>
    <row r="169" ht="15.75" customHeight="1">
      <c r="A169" s="18"/>
      <c r="B169" s="18"/>
      <c r="C169" s="18"/>
      <c r="D169" s="18"/>
      <c r="E169" s="18"/>
      <c r="F169" s="18"/>
    </row>
    <row r="170" ht="15.75" customHeight="1">
      <c r="A170" s="18"/>
      <c r="B170" s="18"/>
      <c r="C170" s="18"/>
      <c r="D170" s="18"/>
      <c r="E170" s="18"/>
      <c r="F170" s="18"/>
    </row>
    <row r="171" ht="15.75" customHeight="1">
      <c r="A171" s="18"/>
      <c r="B171" s="18"/>
      <c r="C171" s="18"/>
      <c r="D171" s="18"/>
      <c r="E171" s="18"/>
      <c r="F171" s="18"/>
    </row>
    <row r="172" ht="15.75" customHeight="1">
      <c r="A172" s="18"/>
      <c r="B172" s="18"/>
      <c r="C172" s="18"/>
      <c r="D172" s="18"/>
      <c r="E172" s="18"/>
      <c r="F172" s="18"/>
    </row>
    <row r="173" ht="15.75" customHeight="1">
      <c r="A173" s="18"/>
      <c r="B173" s="18"/>
      <c r="C173" s="18"/>
      <c r="D173" s="18"/>
      <c r="E173" s="18"/>
      <c r="F173" s="18"/>
    </row>
    <row r="174" ht="15.75" customHeight="1">
      <c r="A174" s="18"/>
      <c r="B174" s="18"/>
      <c r="C174" s="18"/>
      <c r="D174" s="18"/>
      <c r="E174" s="18"/>
      <c r="F174" s="18"/>
    </row>
    <row r="175" ht="15.75" customHeight="1">
      <c r="A175" s="18"/>
      <c r="B175" s="18"/>
      <c r="C175" s="18"/>
      <c r="D175" s="18"/>
      <c r="E175" s="18"/>
      <c r="F175" s="18"/>
    </row>
    <row r="176" ht="15.75" customHeight="1">
      <c r="A176" s="18"/>
      <c r="B176" s="18"/>
      <c r="C176" s="18"/>
      <c r="D176" s="18"/>
      <c r="E176" s="18"/>
      <c r="F176" s="18"/>
    </row>
    <row r="177" ht="15.75" customHeight="1">
      <c r="A177" s="18"/>
      <c r="B177" s="18"/>
      <c r="C177" s="18"/>
      <c r="D177" s="18"/>
      <c r="E177" s="18"/>
      <c r="F177" s="18"/>
    </row>
    <row r="178" ht="15.75" customHeight="1">
      <c r="A178" s="18"/>
      <c r="B178" s="18"/>
      <c r="C178" s="18"/>
      <c r="D178" s="18"/>
      <c r="E178" s="18"/>
      <c r="F178" s="18"/>
    </row>
    <row r="179" ht="15.75" customHeight="1">
      <c r="A179" s="18"/>
      <c r="B179" s="18"/>
      <c r="C179" s="18"/>
      <c r="D179" s="18"/>
      <c r="E179" s="18"/>
      <c r="F179" s="18"/>
    </row>
    <row r="180" ht="15.75" customHeight="1">
      <c r="A180" s="18"/>
      <c r="B180" s="18"/>
      <c r="C180" s="18"/>
      <c r="D180" s="18"/>
      <c r="E180" s="18"/>
      <c r="F180" s="18"/>
    </row>
    <row r="181" ht="15.75" customHeight="1">
      <c r="A181" s="18"/>
      <c r="B181" s="18"/>
      <c r="C181" s="18"/>
      <c r="D181" s="18"/>
      <c r="E181" s="18"/>
      <c r="F181" s="18"/>
    </row>
    <row r="182" ht="15.75" customHeight="1">
      <c r="A182" s="18"/>
      <c r="B182" s="18"/>
      <c r="C182" s="18"/>
      <c r="D182" s="18"/>
      <c r="E182" s="18"/>
      <c r="F182" s="18"/>
    </row>
    <row r="183" ht="15.75" customHeight="1">
      <c r="A183" s="18"/>
      <c r="B183" s="18"/>
      <c r="C183" s="18"/>
      <c r="D183" s="18"/>
      <c r="E183" s="18"/>
      <c r="F183" s="18"/>
    </row>
    <row r="184" ht="15.75" customHeight="1">
      <c r="A184" s="18"/>
      <c r="B184" s="18"/>
      <c r="C184" s="18"/>
      <c r="D184" s="18"/>
      <c r="E184" s="18"/>
      <c r="F184" s="18"/>
    </row>
    <row r="185" ht="15.75" customHeight="1">
      <c r="A185" s="18"/>
      <c r="B185" s="18"/>
      <c r="C185" s="18"/>
      <c r="D185" s="18"/>
      <c r="E185" s="18"/>
      <c r="F185" s="18"/>
    </row>
    <row r="186" ht="15.75" customHeight="1">
      <c r="A186" s="18"/>
      <c r="B186" s="18"/>
      <c r="C186" s="18"/>
      <c r="D186" s="18"/>
      <c r="E186" s="18"/>
      <c r="F186" s="18"/>
    </row>
    <row r="187" ht="15.75" customHeight="1">
      <c r="A187" s="18"/>
      <c r="B187" s="18"/>
      <c r="C187" s="18"/>
      <c r="D187" s="18"/>
      <c r="E187" s="18"/>
      <c r="F187" s="18"/>
    </row>
    <row r="188" ht="15.75" customHeight="1">
      <c r="A188" s="18"/>
      <c r="B188" s="18"/>
      <c r="C188" s="18"/>
      <c r="D188" s="18"/>
      <c r="E188" s="18"/>
      <c r="F188" s="18"/>
    </row>
    <row r="189" ht="15.75" customHeight="1">
      <c r="A189" s="18"/>
      <c r="B189" s="18"/>
      <c r="C189" s="18"/>
      <c r="D189" s="18"/>
      <c r="E189" s="18"/>
      <c r="F189" s="18"/>
    </row>
    <row r="190" ht="15.75" customHeight="1">
      <c r="A190" s="18"/>
      <c r="B190" s="18"/>
      <c r="C190" s="18"/>
      <c r="D190" s="18"/>
      <c r="E190" s="18"/>
      <c r="F190" s="18"/>
    </row>
    <row r="191" ht="15.75" customHeight="1">
      <c r="A191" s="18"/>
      <c r="B191" s="18"/>
      <c r="C191" s="18"/>
      <c r="D191" s="18"/>
      <c r="E191" s="18"/>
      <c r="F191" s="18"/>
    </row>
    <row r="192" ht="15.75" customHeight="1">
      <c r="A192" s="18"/>
      <c r="B192" s="18"/>
      <c r="C192" s="18"/>
      <c r="D192" s="18"/>
      <c r="E192" s="18"/>
      <c r="F192" s="18"/>
    </row>
    <row r="193" ht="15.75" customHeight="1">
      <c r="A193" s="18"/>
      <c r="B193" s="18"/>
      <c r="C193" s="18"/>
      <c r="D193" s="18"/>
      <c r="E193" s="18"/>
      <c r="F193" s="18"/>
    </row>
    <row r="194" ht="15.75" customHeight="1">
      <c r="A194" s="18"/>
      <c r="B194" s="18"/>
      <c r="C194" s="18"/>
      <c r="D194" s="18"/>
      <c r="E194" s="18"/>
      <c r="F194" s="18"/>
    </row>
    <row r="195" ht="15.75" customHeight="1">
      <c r="A195" s="18"/>
      <c r="B195" s="18"/>
      <c r="C195" s="18"/>
      <c r="D195" s="18"/>
      <c r="E195" s="18"/>
      <c r="F195" s="18"/>
    </row>
    <row r="196" ht="15.75" customHeight="1">
      <c r="A196" s="18"/>
      <c r="B196" s="18"/>
      <c r="C196" s="18"/>
      <c r="D196" s="18"/>
      <c r="E196" s="18"/>
      <c r="F196" s="18"/>
    </row>
    <row r="197" ht="15.75" customHeight="1">
      <c r="A197" s="18"/>
      <c r="B197" s="18"/>
      <c r="C197" s="18"/>
      <c r="D197" s="18"/>
      <c r="E197" s="18"/>
      <c r="F197" s="18"/>
    </row>
    <row r="198" ht="15.75" customHeight="1">
      <c r="A198" s="18"/>
      <c r="B198" s="18"/>
      <c r="C198" s="18"/>
      <c r="D198" s="18"/>
      <c r="E198" s="18"/>
      <c r="F198" s="18"/>
    </row>
    <row r="199" ht="15.75" customHeight="1">
      <c r="A199" s="18"/>
      <c r="B199" s="18"/>
      <c r="C199" s="18"/>
      <c r="D199" s="18"/>
      <c r="E199" s="18"/>
      <c r="F199" s="18"/>
    </row>
    <row r="200" ht="15.75" customHeight="1">
      <c r="A200" s="18"/>
      <c r="B200" s="18"/>
      <c r="C200" s="18"/>
      <c r="D200" s="18"/>
      <c r="E200" s="18"/>
      <c r="F200" s="18"/>
    </row>
    <row r="201" ht="15.75" customHeight="1">
      <c r="A201" s="18"/>
      <c r="B201" s="18"/>
      <c r="C201" s="18"/>
      <c r="D201" s="18"/>
      <c r="E201" s="18"/>
      <c r="F201" s="18"/>
    </row>
    <row r="202" ht="15.75" customHeight="1">
      <c r="A202" s="18"/>
      <c r="B202" s="18"/>
      <c r="C202" s="18"/>
      <c r="D202" s="18"/>
      <c r="E202" s="18"/>
      <c r="F202" s="18"/>
    </row>
    <row r="203" ht="15.75" customHeight="1">
      <c r="A203" s="18"/>
      <c r="B203" s="18"/>
      <c r="C203" s="18"/>
      <c r="D203" s="18"/>
      <c r="E203" s="18"/>
      <c r="F203" s="18"/>
    </row>
    <row r="204" ht="15.75" customHeight="1">
      <c r="A204" s="18"/>
      <c r="B204" s="18"/>
      <c r="C204" s="18"/>
      <c r="D204" s="18"/>
      <c r="E204" s="18"/>
      <c r="F204" s="18"/>
    </row>
    <row r="205" ht="15.75" customHeight="1">
      <c r="A205" s="18"/>
      <c r="B205" s="18"/>
      <c r="C205" s="18"/>
      <c r="D205" s="18"/>
      <c r="E205" s="18"/>
      <c r="F205" s="18"/>
    </row>
    <row r="206" ht="15.75" customHeight="1">
      <c r="A206" s="18"/>
      <c r="B206" s="18"/>
      <c r="C206" s="18"/>
      <c r="D206" s="18"/>
      <c r="E206" s="18"/>
      <c r="F206" s="18"/>
    </row>
    <row r="207" ht="15.75" customHeight="1">
      <c r="A207" s="18"/>
      <c r="B207" s="18"/>
      <c r="C207" s="18"/>
      <c r="D207" s="18"/>
      <c r="E207" s="18"/>
      <c r="F207" s="18"/>
    </row>
    <row r="208" ht="15.75" customHeight="1">
      <c r="A208" s="18"/>
      <c r="B208" s="18"/>
      <c r="C208" s="18"/>
      <c r="D208" s="18"/>
      <c r="E208" s="18"/>
      <c r="F208" s="18"/>
    </row>
    <row r="209" ht="15.75" customHeight="1">
      <c r="A209" s="18"/>
      <c r="B209" s="18"/>
      <c r="C209" s="18"/>
      <c r="D209" s="18"/>
      <c r="E209" s="18"/>
      <c r="F209" s="18"/>
    </row>
    <row r="210" ht="15.75" customHeight="1">
      <c r="A210" s="18"/>
      <c r="B210" s="18"/>
      <c r="C210" s="18"/>
      <c r="D210" s="18"/>
      <c r="E210" s="18"/>
      <c r="F210" s="18"/>
    </row>
    <row r="211" ht="15.75" customHeight="1">
      <c r="A211" s="18"/>
      <c r="B211" s="18"/>
      <c r="C211" s="18"/>
      <c r="D211" s="18"/>
      <c r="E211" s="18"/>
      <c r="F211" s="18"/>
    </row>
    <row r="212" ht="15.75" customHeight="1">
      <c r="A212" s="18"/>
      <c r="B212" s="18"/>
      <c r="C212" s="18"/>
      <c r="D212" s="18"/>
      <c r="E212" s="18"/>
      <c r="F212" s="18"/>
    </row>
    <row r="213" ht="15.75" customHeight="1">
      <c r="A213" s="18"/>
      <c r="B213" s="18"/>
      <c r="C213" s="18"/>
      <c r="D213" s="18"/>
      <c r="E213" s="18"/>
      <c r="F213" s="18"/>
    </row>
    <row r="214" ht="15.75" customHeight="1">
      <c r="A214" s="18"/>
      <c r="B214" s="18"/>
      <c r="C214" s="18"/>
      <c r="D214" s="18"/>
      <c r="E214" s="18"/>
      <c r="F214" s="18"/>
    </row>
    <row r="215" ht="15.75" customHeight="1">
      <c r="A215" s="18"/>
      <c r="B215" s="18"/>
      <c r="C215" s="18"/>
      <c r="D215" s="18"/>
      <c r="E215" s="18"/>
      <c r="F215" s="18"/>
    </row>
    <row r="216" ht="15.75" customHeight="1">
      <c r="A216" s="18"/>
      <c r="B216" s="18"/>
      <c r="C216" s="18"/>
      <c r="D216" s="18"/>
      <c r="E216" s="18"/>
      <c r="F216" s="18"/>
    </row>
    <row r="217" ht="15.75" customHeight="1">
      <c r="A217" s="18"/>
      <c r="B217" s="18"/>
      <c r="C217" s="18"/>
      <c r="D217" s="18"/>
      <c r="E217" s="18"/>
      <c r="F217" s="18"/>
    </row>
    <row r="218" ht="15.75" customHeight="1">
      <c r="A218" s="18"/>
      <c r="B218" s="18"/>
      <c r="C218" s="18"/>
      <c r="D218" s="18"/>
      <c r="E218" s="18"/>
      <c r="F218" s="18"/>
    </row>
    <row r="219" ht="15.75" customHeight="1">
      <c r="A219" s="18"/>
      <c r="B219" s="18"/>
      <c r="C219" s="18"/>
      <c r="D219" s="18"/>
      <c r="E219" s="18"/>
      <c r="F219" s="18"/>
    </row>
    <row r="220" ht="15.75" customHeight="1">
      <c r="A220" s="18"/>
      <c r="B220" s="18"/>
      <c r="C220" s="18"/>
      <c r="D220" s="18"/>
      <c r="E220" s="18"/>
      <c r="F220" s="18"/>
    </row>
    <row r="221" ht="15.75" customHeight="1">
      <c r="A221" s="18"/>
      <c r="B221" s="18"/>
      <c r="C221" s="18"/>
      <c r="D221" s="18"/>
      <c r="E221" s="18"/>
      <c r="F221" s="18"/>
    </row>
    <row r="222" ht="15.75" customHeight="1">
      <c r="A222" s="18"/>
      <c r="B222" s="18"/>
      <c r="C222" s="18"/>
      <c r="D222" s="18"/>
      <c r="E222" s="18"/>
      <c r="F222" s="18"/>
    </row>
    <row r="223" ht="15.75" customHeight="1">
      <c r="A223" s="18"/>
      <c r="B223" s="18"/>
      <c r="C223" s="18"/>
      <c r="D223" s="18"/>
      <c r="E223" s="18"/>
      <c r="F223" s="18"/>
    </row>
    <row r="224" ht="15.75" customHeight="1">
      <c r="A224" s="18"/>
      <c r="B224" s="18"/>
      <c r="C224" s="18"/>
      <c r="D224" s="18"/>
      <c r="E224" s="18"/>
      <c r="F224" s="18"/>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E1"/>
  </mergeCells>
  <drawing r:id="rId1"/>
</worksheet>
</file>